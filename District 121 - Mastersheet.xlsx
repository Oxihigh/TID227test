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lubDetails" sheetId="2" state="visible" r:id="rId2"/>
    <sheet name="Overall" sheetId="3" state="visible" r:id="rId3"/>
    <sheet name="Division 0D" sheetId="4" state="visible" r:id="rId4"/>
    <sheet name="Division A" sheetId="5" state="visible" r:id="rId5"/>
    <sheet name="Division B" sheetId="6" state="visible" r:id="rId6"/>
    <sheet name="Division C" sheetId="7" state="visible" r:id="rId7"/>
    <sheet name="Division D" sheetId="8" state="visible" r:id="rId8"/>
    <sheet name="Division E" sheetId="9" state="visible" r:id="rId9"/>
    <sheet name="Division F" sheetId="10" state="visible" r:id="rId10"/>
    <sheet name="Division G" sheetId="11" state="visible" r:id="rId11"/>
    <sheet name="Division H" sheetId="12" state="visible" r:id="rId12"/>
    <sheet name="Division 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D3748"/>
      <sz val="10"/>
    </font>
    <font>
      <name val="Segoe UI"/>
      <b val="1"/>
      <color rgb="001B365D"/>
      <sz val="14"/>
    </font>
    <font>
      <name val="Segoe UI"/>
      <b val="1"/>
      <color rgb="001A202C"/>
      <sz val="10"/>
    </font>
    <font>
      <name val="Segoe UI"/>
      <b val="1"/>
      <color rgb="001B365D"/>
      <sz val="12"/>
    </font>
    <font>
      <name val="Segoe UI"/>
      <b val="1"/>
      <color rgb="001B365D"/>
      <sz val="16"/>
    </font>
    <font>
      <name val="Segoe UI"/>
      <i val="1"/>
      <color rgb="00718096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0" pivotButton="0" quotePrefix="0" xfId="0"/>
    <xf numFmtId="0" fontId="2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30" customWidth="1" min="4" max="4"/>
    <col width="15" customWidth="1" min="5" max="5"/>
    <col width="5" customWidth="1" min="6" max="6"/>
    <col width="30" customWidth="1" min="7" max="7"/>
    <col width="15" customWidth="1" min="8" max="8"/>
  </cols>
  <sheetData>
    <row r="1">
      <c r="A1" s="1" t="inlineStr">
        <is>
          <t>District 121 Performance Dashboard</t>
        </is>
      </c>
    </row>
    <row r="2">
      <c r="A2" s="2" t="inlineStr">
        <is>
          <t>Membership, Payments &amp; Club Recognition Goals</t>
        </is>
      </c>
    </row>
    <row r="4">
      <c r="A4" s="3" t="inlineStr">
        <is>
          <t>Payments Goals</t>
        </is>
      </c>
      <c r="D4" s="3" t="inlineStr">
        <is>
          <t>Clubs Goals</t>
        </is>
      </c>
      <c r="G4" s="3" t="inlineStr">
        <is>
          <t>Distinguished Clubs Goals</t>
        </is>
      </c>
    </row>
    <row r="5">
      <c r="A5" s="4" t="inlineStr">
        <is>
          <t>Base Payments</t>
        </is>
      </c>
      <c r="B5" s="5" t="n">
        <v>8634</v>
      </c>
      <c r="D5" s="4" t="inlineStr">
        <is>
          <t>Base Clubs</t>
        </is>
      </c>
      <c r="E5" s="5" t="n">
        <v>174</v>
      </c>
      <c r="G5" s="4" t="inlineStr">
        <is>
          <t>Distinguished Clubs Prereq</t>
        </is>
      </c>
      <c r="H5" s="5" t="n">
        <v>0</v>
      </c>
    </row>
    <row r="6">
      <c r="A6" s="4" t="inlineStr">
        <is>
          <t>Distinguished</t>
        </is>
      </c>
      <c r="B6" s="5">
        <f>ROUND(B5*1.01, 0)</f>
        <v/>
      </c>
      <c r="D6" s="4" t="inlineStr">
        <is>
          <t>Distinguished</t>
        </is>
      </c>
      <c r="E6" s="5">
        <f>E5</f>
        <v/>
      </c>
      <c r="G6" s="4" t="inlineStr">
        <is>
          <t>Distinguished</t>
        </is>
      </c>
      <c r="H6" s="5">
        <f>ROUND(0.4*E5, 0)</f>
        <v/>
      </c>
    </row>
    <row r="7">
      <c r="A7" s="4" t="inlineStr">
        <is>
          <t>Select Distinguished</t>
        </is>
      </c>
      <c r="B7" s="5">
        <f>ROUND(B5*1.03, 0)</f>
        <v/>
      </c>
      <c r="D7" s="4" t="inlineStr">
        <is>
          <t>Select Distinguished</t>
        </is>
      </c>
      <c r="E7" s="5" t="n">
        <v>184</v>
      </c>
      <c r="G7" s="4" t="inlineStr">
        <is>
          <t>Select Distinguished</t>
        </is>
      </c>
      <c r="H7" s="5" t="n">
        <v>89</v>
      </c>
    </row>
    <row r="8">
      <c r="A8" s="4" t="inlineStr">
        <is>
          <t>President's Distinguished</t>
        </is>
      </c>
      <c r="B8" s="5">
        <f>ROUND(B5*1.05, 0)</f>
        <v/>
      </c>
      <c r="D8" s="4" t="inlineStr">
        <is>
          <t>President's Distinguished</t>
        </is>
      </c>
      <c r="E8" s="5" t="n">
        <v>194</v>
      </c>
      <c r="G8" s="4" t="inlineStr">
        <is>
          <t>President's Distinguished</t>
        </is>
      </c>
      <c r="H8" s="5" t="n">
        <v>100</v>
      </c>
    </row>
    <row r="9">
      <c r="A9" s="4" t="inlineStr">
        <is>
          <t>Smedley Distinguished</t>
        </is>
      </c>
      <c r="B9" s="5">
        <f>ROUND(B5*1.08, 0)</f>
        <v/>
      </c>
      <c r="D9" s="4" t="inlineStr">
        <is>
          <t>Smedley Distinguished</t>
        </is>
      </c>
      <c r="E9" s="5" t="n">
        <v>197</v>
      </c>
      <c r="G9" s="4" t="inlineStr">
        <is>
          <t>Smedley Distinguished</t>
        </is>
      </c>
      <c r="H9" s="5" t="n">
        <v>108</v>
      </c>
    </row>
    <row r="11">
      <c r="A11" s="6" t="inlineStr">
        <is>
          <t>Payments To Date</t>
        </is>
      </c>
      <c r="B11" s="7">
        <f>Overall!L14</f>
        <v/>
      </c>
      <c r="D11" s="6" t="inlineStr">
        <is>
          <t>Active Clubs</t>
        </is>
      </c>
      <c r="E11" s="7">
        <f>Overall!C14</f>
        <v/>
      </c>
      <c r="G11" s="6" t="inlineStr">
        <is>
          <t>Distinguished To Date</t>
        </is>
      </c>
      <c r="H11" s="7">
        <f>Overall!D14</f>
        <v/>
      </c>
    </row>
    <row r="13">
      <c r="A13" s="4" t="inlineStr">
        <is>
          <t>Pending Distinguished</t>
        </is>
      </c>
      <c r="B13" s="8">
        <f>IF(B6-B11&lt;0,0,B6-B11)</f>
        <v/>
      </c>
      <c r="D13" s="4" t="inlineStr">
        <is>
          <t>Pending Distinguished</t>
        </is>
      </c>
      <c r="E13" s="8">
        <f>IF(E6-E11&lt;0,0,E6-E11)</f>
        <v/>
      </c>
      <c r="G13" s="4" t="inlineStr">
        <is>
          <t>Pending Distinguished</t>
        </is>
      </c>
      <c r="H13" s="8">
        <f>IF(H6-H11&lt;0,0,H6-H11)</f>
        <v/>
      </c>
    </row>
    <row r="14">
      <c r="A14" s="4" t="inlineStr">
        <is>
          <t>Pending Select Distinguished</t>
        </is>
      </c>
      <c r="B14" s="8">
        <f>IF(B7-B11&lt;0,0,B7-B11)</f>
        <v/>
      </c>
      <c r="D14" s="4" t="inlineStr">
        <is>
          <t>Pending Select Distinguished</t>
        </is>
      </c>
      <c r="E14" s="8">
        <f>IF(E7-E11&lt;0,0,E7-E11)</f>
        <v/>
      </c>
      <c r="G14" s="4" t="inlineStr">
        <is>
          <t>Pending Select Distinguished</t>
        </is>
      </c>
      <c r="H14" s="8">
        <f>IF(H7-H11&lt;0,0,H7-H11)</f>
        <v/>
      </c>
    </row>
    <row r="15">
      <c r="A15" s="4" t="inlineStr">
        <is>
          <t>Pending President's Distinguished</t>
        </is>
      </c>
      <c r="B15" s="8">
        <f>IF(B8-B11&lt;0,0,B8-B11)</f>
        <v/>
      </c>
      <c r="D15" s="4" t="inlineStr">
        <is>
          <t>Pending President's Distinguished</t>
        </is>
      </c>
      <c r="E15" s="8">
        <f>IF(E8-E11&lt;0,0,E8-E11)</f>
        <v/>
      </c>
      <c r="G15" s="4" t="inlineStr">
        <is>
          <t>Pending President's Distinguished</t>
        </is>
      </c>
      <c r="H15" s="8">
        <f>IF(H8-H11&lt;0,0,H8-H11)</f>
        <v/>
      </c>
    </row>
    <row r="16">
      <c r="A16" s="4" t="inlineStr">
        <is>
          <t>Pending Smedley Distinguished</t>
        </is>
      </c>
      <c r="B16" s="8">
        <f>IF(B9-B11&lt;0,0,B9-B11)</f>
        <v/>
      </c>
      <c r="D16" s="4" t="inlineStr">
        <is>
          <t>Pending Smedley Distinguished</t>
        </is>
      </c>
      <c r="E16" s="8">
        <f>IF(E9-E11&lt;0,0,E9-E11)</f>
        <v/>
      </c>
      <c r="G16" s="4" t="inlineStr">
        <is>
          <t>Pending Smedley Distinguished</t>
        </is>
      </c>
      <c r="H16" s="8">
        <f>IF(H9-H11&lt;0,0,H9-H11)</f>
        <v/>
      </c>
    </row>
    <row r="18">
      <c r="A18" s="6" t="inlineStr">
        <is>
          <t>Payments % Base</t>
        </is>
      </c>
      <c r="B18" s="9">
        <f>B11/B5</f>
        <v/>
      </c>
      <c r="D18" s="6" t="inlineStr">
        <is>
          <t>20 + Clubs</t>
        </is>
      </c>
      <c r="E18" s="5">
        <f>Overall!M14</f>
        <v/>
      </c>
      <c r="G18" s="6" t="inlineStr">
        <is>
          <t>Distinguished % Base</t>
        </is>
      </c>
      <c r="H18" s="9">
        <f>H11/E5</f>
        <v/>
      </c>
    </row>
    <row r="19">
      <c r="A19" s="6" t="inlineStr">
        <is>
          <t>Payments % SDD Goal</t>
        </is>
      </c>
      <c r="B19" s="9">
        <f>B11/B9</f>
        <v/>
      </c>
      <c r="D19" s="6" t="inlineStr">
        <is>
          <t>20 + Clubs % Active Clubs</t>
        </is>
      </c>
      <c r="E19" s="9">
        <f>E18/E11</f>
        <v/>
      </c>
    </row>
    <row r="21">
      <c r="A21" s="10" t="inlineStr">
        <is>
          <t>Membership Campaigns &amp; Deadlines</t>
        </is>
      </c>
    </row>
    <row r="23">
      <c r="A23" s="11" t="inlineStr">
        <is>
          <t>Campaign Name</t>
        </is>
      </c>
      <c r="B23" s="11" t="inlineStr">
        <is>
          <t>Timeline</t>
        </is>
      </c>
      <c r="C23" s="11" t="inlineStr">
        <is>
          <t>Status / Time Left</t>
        </is>
      </c>
    </row>
    <row r="24">
      <c r="A24" s="4" t="inlineStr">
        <is>
          <t>Smedley Award</t>
        </is>
      </c>
      <c r="B24" s="12" t="inlineStr">
        <is>
          <t>Aug 1 - Sep 30</t>
        </is>
      </c>
      <c r="C24" s="13">
        <f>IF(TODAY()&gt;DATE(YEAR(TODAY()),9,30), "Ended", DATE(YEAR(TODAY()),9,30)-TODAY() &amp; " days left")</f>
        <v/>
      </c>
    </row>
    <row r="25">
      <c r="A25" s="4" t="inlineStr">
        <is>
          <t>Talk Up Toastmasters</t>
        </is>
      </c>
      <c r="B25" s="12" t="inlineStr">
        <is>
          <t>Feb 1 - Mar 31</t>
        </is>
      </c>
      <c r="C25" s="13">
        <f>IF(TODAY()&gt;DATE(YEAR(TODAY())+IF(MONTH(TODAY())&gt;3,1,0),3,31), "Ended", DATE(YEAR(TODAY())+IF(MONTH(TODAY())&gt;3,1,0),3,31)-TODAY() &amp; " days left")</f>
        <v/>
      </c>
    </row>
    <row r="26">
      <c r="A26" s="4" t="inlineStr">
        <is>
          <t>Beat the Clock</t>
        </is>
      </c>
      <c r="B26" s="12" t="inlineStr">
        <is>
          <t>May 1 - Jun 30</t>
        </is>
      </c>
      <c r="C26" s="13">
        <f>IF(TODAY()&gt;DATE(YEAR(TODAY())+IF(MONTH(TODAY())&gt;6,1,0),6,30), "Ended", DATE(YEAR(TODAY())+IF(MONTH(TODAY())&gt;6,1,0),6,30)-TODAY() &amp; " days left")</f>
        <v/>
      </c>
    </row>
  </sheetData>
  <mergeCells count="3">
    <mergeCell ref="A4:B4"/>
    <mergeCell ref="G4:H4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51" customWidth="1" min="5" max="5"/>
    <col width="14" customWidth="1" min="6" max="6"/>
    <col width="18" customWidth="1" min="7" max="7"/>
    <col width="20" customWidth="1" min="8" max="8"/>
    <col width="12" customWidth="1" min="9" max="9"/>
    <col width="22" customWidth="1" min="10" max="10"/>
    <col width="21" customWidth="1" min="11" max="11"/>
    <col width="17" customWidth="1" min="12" max="12"/>
    <col width="17" customWidth="1" min="13" max="13"/>
  </cols>
  <sheetData>
    <row r="1">
      <c r="A1" s="14" t="inlineStr">
        <is>
          <t>Club Number</t>
        </is>
      </c>
      <c r="B1" s="14" t="inlineStr">
        <is>
          <t>District</t>
        </is>
      </c>
      <c r="C1" s="14" t="inlineStr">
        <is>
          <t>Division</t>
        </is>
      </c>
      <c r="D1" s="14" t="inlineStr">
        <is>
          <t>Area</t>
        </is>
      </c>
      <c r="E1" s="14" t="inlineStr">
        <is>
          <t>Club Name</t>
        </is>
      </c>
      <c r="F1" s="14" t="inlineStr">
        <is>
          <t>Club Status</t>
        </is>
      </c>
      <c r="G1" s="14" t="inlineStr">
        <is>
          <t>Base Membership</t>
        </is>
      </c>
      <c r="H1" s="14" t="inlineStr">
        <is>
          <t>Active Membership</t>
        </is>
      </c>
      <c r="I1" s="14" t="inlineStr">
        <is>
          <t>Goals Met</t>
        </is>
      </c>
      <c r="J1" s="14" t="inlineStr">
        <is>
          <t>New Member Payments</t>
        </is>
      </c>
      <c r="K1" s="14" t="inlineStr">
        <is>
          <t>September Renewals</t>
        </is>
      </c>
      <c r="L1" s="14" t="inlineStr">
        <is>
          <t>March Renewals</t>
        </is>
      </c>
      <c r="M1" s="14" t="inlineStr">
        <is>
          <t>Total Payments</t>
        </is>
      </c>
    </row>
    <row r="2">
      <c r="A2" s="15" t="n">
        <v>7896844</v>
      </c>
      <c r="B2" s="15" t="inlineStr">
        <is>
          <t>121</t>
        </is>
      </c>
      <c r="C2" s="15" t="inlineStr">
        <is>
          <t>0D</t>
        </is>
      </c>
      <c r="D2" s="15" t="inlineStr">
        <is>
          <t>0A</t>
        </is>
      </c>
      <c r="E2" s="16" t="inlineStr">
        <is>
          <t>ICSI Mysuru RoyalPro TM Club</t>
        </is>
      </c>
      <c r="F2" s="15" t="inlineStr">
        <is>
          <t>Active</t>
        </is>
      </c>
      <c r="G2" s="17" t="n">
        <v>0</v>
      </c>
      <c r="H2" s="17" t="n">
        <v>12</v>
      </c>
      <c r="I2" s="17" t="n">
        <v>2</v>
      </c>
      <c r="J2" s="17" t="n">
        <v>12</v>
      </c>
      <c r="K2" s="17" t="n">
        <v>0</v>
      </c>
      <c r="L2" s="17" t="n">
        <v>0</v>
      </c>
      <c r="M2" s="17" t="n">
        <v>12</v>
      </c>
    </row>
    <row r="3">
      <c r="A3" s="18" t="n">
        <v>1449300</v>
      </c>
      <c r="B3" s="18" t="inlineStr">
        <is>
          <t>121</t>
        </is>
      </c>
      <c r="C3" s="18" t="inlineStr">
        <is>
          <t>A</t>
        </is>
      </c>
      <c r="D3" s="18" t="inlineStr">
        <is>
          <t>01</t>
        </is>
      </c>
      <c r="E3" s="19" t="inlineStr">
        <is>
          <t>Mysore Toastmasters</t>
        </is>
      </c>
      <c r="F3" s="18" t="inlineStr">
        <is>
          <t>Active</t>
        </is>
      </c>
      <c r="G3" s="20" t="n">
        <v>35</v>
      </c>
      <c r="H3" s="20" t="n">
        <v>30</v>
      </c>
      <c r="I3" s="20" t="n">
        <v>10</v>
      </c>
      <c r="J3" s="20" t="n">
        <v>21</v>
      </c>
      <c r="K3" s="20" t="n">
        <v>25</v>
      </c>
      <c r="L3" s="20" t="n">
        <v>27</v>
      </c>
      <c r="M3" s="20" t="n">
        <v>73</v>
      </c>
    </row>
    <row r="4">
      <c r="A4" s="15" t="n">
        <v>6632488</v>
      </c>
      <c r="B4" s="15" t="inlineStr">
        <is>
          <t>121</t>
        </is>
      </c>
      <c r="C4" s="15" t="inlineStr">
        <is>
          <t>A</t>
        </is>
      </c>
      <c r="D4" s="15" t="inlineStr">
        <is>
          <t>01</t>
        </is>
      </c>
      <c r="E4" s="16" t="inlineStr">
        <is>
          <t>VVCE TOASTMASTERS CLUB</t>
        </is>
      </c>
      <c r="F4" s="15" t="inlineStr">
        <is>
          <t>Active</t>
        </is>
      </c>
      <c r="G4" s="17" t="n">
        <v>29</v>
      </c>
      <c r="H4" s="17" t="n">
        <v>31</v>
      </c>
      <c r="I4" s="17" t="n">
        <v>8</v>
      </c>
      <c r="J4" s="17" t="n">
        <v>13</v>
      </c>
      <c r="K4" s="17" t="n">
        <v>22</v>
      </c>
      <c r="L4" s="17" t="n">
        <v>21</v>
      </c>
      <c r="M4" s="17" t="n">
        <v>56</v>
      </c>
    </row>
    <row r="5">
      <c r="A5" s="18" t="n">
        <v>7992645</v>
      </c>
      <c r="B5" s="18" t="inlineStr">
        <is>
          <t>121</t>
        </is>
      </c>
      <c r="C5" s="18" t="inlineStr">
        <is>
          <t>A</t>
        </is>
      </c>
      <c r="D5" s="18" t="inlineStr">
        <is>
          <t>01</t>
        </is>
      </c>
      <c r="E5" s="19" t="inlineStr">
        <is>
          <t>All Women and Entrepreneurs Toastmasters Club</t>
        </is>
      </c>
      <c r="F5" s="18" t="inlineStr">
        <is>
          <t>Active</t>
        </is>
      </c>
      <c r="G5" s="20" t="n">
        <v>23</v>
      </c>
      <c r="H5" s="20" t="n">
        <v>20</v>
      </c>
      <c r="I5" s="20" t="n">
        <v>10</v>
      </c>
      <c r="J5" s="20" t="n">
        <v>11</v>
      </c>
      <c r="K5" s="20" t="n">
        <v>11</v>
      </c>
      <c r="L5" s="20" t="n">
        <v>15</v>
      </c>
      <c r="M5" s="20" t="n">
        <v>37</v>
      </c>
    </row>
    <row r="6">
      <c r="A6" s="15" t="n">
        <v>28678068</v>
      </c>
      <c r="B6" s="15" t="inlineStr">
        <is>
          <t>121</t>
        </is>
      </c>
      <c r="C6" s="15" t="inlineStr">
        <is>
          <t>A</t>
        </is>
      </c>
      <c r="D6" s="15" t="inlineStr">
        <is>
          <t>01</t>
        </is>
      </c>
      <c r="E6" s="16" t="inlineStr">
        <is>
          <t>MIT Toastmasters</t>
        </is>
      </c>
      <c r="F6" s="15" t="inlineStr">
        <is>
          <t>Ineligible</t>
        </is>
      </c>
      <c r="G6" s="17" t="n">
        <v>12</v>
      </c>
      <c r="H6" s="17" t="n">
        <v>0</v>
      </c>
      <c r="I6" s="17" t="n">
        <v>3</v>
      </c>
      <c r="J6" s="17" t="n">
        <v>26</v>
      </c>
      <c r="K6" s="17" t="n">
        <v>26</v>
      </c>
      <c r="L6" s="17" t="n">
        <v>0</v>
      </c>
      <c r="M6" s="17" t="n">
        <v>52</v>
      </c>
    </row>
    <row r="7">
      <c r="A7" s="18" t="n">
        <v>28680152</v>
      </c>
      <c r="B7" s="18" t="inlineStr">
        <is>
          <t>121</t>
        </is>
      </c>
      <c r="C7" s="18" t="inlineStr">
        <is>
          <t>A</t>
        </is>
      </c>
      <c r="D7" s="18" t="inlineStr">
        <is>
          <t>01</t>
        </is>
      </c>
      <c r="E7" s="19" t="inlineStr">
        <is>
          <t>rProcess Toastmasters Club</t>
        </is>
      </c>
      <c r="F7" s="18" t="inlineStr">
        <is>
          <t>Active</t>
        </is>
      </c>
      <c r="G7" s="20" t="n">
        <v>21</v>
      </c>
      <c r="H7" s="20" t="n">
        <v>21</v>
      </c>
      <c r="I7" s="20" t="n">
        <v>1</v>
      </c>
      <c r="J7" s="20" t="n">
        <v>0</v>
      </c>
      <c r="K7" s="20" t="n">
        <v>0</v>
      </c>
      <c r="L7" s="20" t="n">
        <v>0</v>
      </c>
      <c r="M7" s="20" t="n">
        <v>21</v>
      </c>
    </row>
    <row r="8">
      <c r="A8" s="15" t="n">
        <v>5953659</v>
      </c>
      <c r="B8" s="15" t="inlineStr">
        <is>
          <t>121</t>
        </is>
      </c>
      <c r="C8" s="15" t="inlineStr">
        <is>
          <t>A</t>
        </is>
      </c>
      <c r="D8" s="15" t="inlineStr">
        <is>
          <t>02</t>
        </is>
      </c>
      <c r="E8" s="16" t="inlineStr">
        <is>
          <t>Ritoras</t>
        </is>
      </c>
      <c r="F8" s="15" t="inlineStr">
        <is>
          <t>Active</t>
        </is>
      </c>
      <c r="G8" s="17" t="n">
        <v>14</v>
      </c>
      <c r="H8" s="17" t="n">
        <v>23</v>
      </c>
      <c r="I8" s="17" t="n">
        <v>9</v>
      </c>
      <c r="J8" s="17" t="n">
        <v>17</v>
      </c>
      <c r="K8" s="17" t="n">
        <v>13</v>
      </c>
      <c r="L8" s="17" t="n">
        <v>17</v>
      </c>
      <c r="M8" s="17" t="n">
        <v>47</v>
      </c>
    </row>
    <row r="9">
      <c r="A9" s="18" t="n">
        <v>6714857</v>
      </c>
      <c r="B9" s="18" t="inlineStr">
        <is>
          <t>121</t>
        </is>
      </c>
      <c r="C9" s="18" t="inlineStr">
        <is>
          <t>A</t>
        </is>
      </c>
      <c r="D9" s="18" t="inlineStr">
        <is>
          <t>02</t>
        </is>
      </c>
      <c r="E9" s="19" t="inlineStr">
        <is>
          <t>Galaxy Toastmasters Club</t>
        </is>
      </c>
      <c r="F9" s="18" t="inlineStr">
        <is>
          <t>Active</t>
        </is>
      </c>
      <c r="G9" s="20" t="n">
        <v>30</v>
      </c>
      <c r="H9" s="20" t="n">
        <v>33</v>
      </c>
      <c r="I9" s="20" t="n">
        <v>10</v>
      </c>
      <c r="J9" s="20" t="n">
        <v>29</v>
      </c>
      <c r="K9" s="20" t="n">
        <v>23</v>
      </c>
      <c r="L9" s="20" t="n">
        <v>25</v>
      </c>
      <c r="M9" s="20" t="n">
        <v>77</v>
      </c>
    </row>
    <row r="10">
      <c r="A10" s="15" t="n">
        <v>7772645</v>
      </c>
      <c r="B10" s="15" t="inlineStr">
        <is>
          <t>121</t>
        </is>
      </c>
      <c r="C10" s="15" t="inlineStr">
        <is>
          <t>A</t>
        </is>
      </c>
      <c r="D10" s="15" t="inlineStr">
        <is>
          <t>02</t>
        </is>
      </c>
      <c r="E10" s="16" t="inlineStr">
        <is>
          <t>Namma Bengaluru Toastmasters Club</t>
        </is>
      </c>
      <c r="F10" s="15" t="inlineStr">
        <is>
          <t>Active</t>
        </is>
      </c>
      <c r="G10" s="17" t="n">
        <v>10</v>
      </c>
      <c r="H10" s="17" t="n">
        <v>9</v>
      </c>
      <c r="I10" s="17" t="n">
        <v>7</v>
      </c>
      <c r="J10" s="17" t="n">
        <v>8</v>
      </c>
      <c r="K10" s="17" t="n">
        <v>3</v>
      </c>
      <c r="L10" s="17" t="n">
        <v>7</v>
      </c>
      <c r="M10" s="17" t="n">
        <v>18</v>
      </c>
    </row>
    <row r="11">
      <c r="A11" s="18" t="n">
        <v>28678224</v>
      </c>
      <c r="B11" s="18" t="inlineStr">
        <is>
          <t>121</t>
        </is>
      </c>
      <c r="C11" s="18" t="inlineStr">
        <is>
          <t>A</t>
        </is>
      </c>
      <c r="D11" s="18" t="inlineStr">
        <is>
          <t>02</t>
        </is>
      </c>
      <c r="E11" s="19" t="inlineStr">
        <is>
          <t>TE Services Toastmasters Club</t>
        </is>
      </c>
      <c r="F11" s="18" t="inlineStr">
        <is>
          <t>Active</t>
        </is>
      </c>
      <c r="G11" s="20" t="n">
        <v>32</v>
      </c>
      <c r="H11" s="20" t="n">
        <v>37</v>
      </c>
      <c r="I11" s="20" t="n">
        <v>5</v>
      </c>
      <c r="J11" s="20" t="n">
        <v>54</v>
      </c>
      <c r="K11" s="20" t="n">
        <v>9</v>
      </c>
      <c r="L11" s="20" t="n">
        <v>9</v>
      </c>
      <c r="M11" s="20" t="n">
        <v>72</v>
      </c>
    </row>
    <row r="12">
      <c r="A12" s="15" t="n">
        <v>28678951</v>
      </c>
      <c r="B12" s="15" t="inlineStr">
        <is>
          <t>121</t>
        </is>
      </c>
      <c r="C12" s="15" t="inlineStr">
        <is>
          <t>A</t>
        </is>
      </c>
      <c r="D12" s="15" t="inlineStr">
        <is>
          <t>02</t>
        </is>
      </c>
      <c r="E12" s="16" t="inlineStr">
        <is>
          <t>Welldoc Toastmasters</t>
        </is>
      </c>
      <c r="F12" s="15" t="inlineStr">
        <is>
          <t>Active</t>
        </is>
      </c>
      <c r="G12" s="17" t="n">
        <v>20</v>
      </c>
      <c r="H12" s="17" t="n">
        <v>10</v>
      </c>
      <c r="I12" s="17" t="n">
        <v>1</v>
      </c>
      <c r="J12" s="17" t="n">
        <v>5</v>
      </c>
      <c r="K12" s="17" t="n">
        <v>9</v>
      </c>
      <c r="L12" s="17" t="n">
        <v>5</v>
      </c>
      <c r="M12" s="17" t="n">
        <v>19</v>
      </c>
    </row>
    <row r="13">
      <c r="A13" s="18" t="n">
        <v>28679251</v>
      </c>
      <c r="B13" s="18" t="inlineStr">
        <is>
          <t>121</t>
        </is>
      </c>
      <c r="C13" s="18" t="inlineStr">
        <is>
          <t>A</t>
        </is>
      </c>
      <c r="D13" s="18" t="inlineStr">
        <is>
          <t>02</t>
        </is>
      </c>
      <c r="E13" s="19" t="inlineStr">
        <is>
          <t>Terra</t>
        </is>
      </c>
      <c r="F13" s="18" t="inlineStr">
        <is>
          <t>Suspended</t>
        </is>
      </c>
      <c r="G13" s="20" t="n">
        <v>26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26</v>
      </c>
    </row>
    <row r="14">
      <c r="A14" s="15" t="n">
        <v>3793772</v>
      </c>
      <c r="B14" s="15" t="inlineStr">
        <is>
          <t>121</t>
        </is>
      </c>
      <c r="C14" s="15" t="inlineStr">
        <is>
          <t>A</t>
        </is>
      </c>
      <c r="D14" s="15" t="inlineStr">
        <is>
          <t>03</t>
        </is>
      </c>
      <c r="E14" s="16" t="inlineStr">
        <is>
          <t>Utthishta Toastmasters</t>
        </is>
      </c>
      <c r="F14" s="15" t="inlineStr">
        <is>
          <t>Active</t>
        </is>
      </c>
      <c r="G14" s="17" t="n">
        <v>55</v>
      </c>
      <c r="H14" s="17" t="n">
        <v>55</v>
      </c>
      <c r="I14" s="17" t="n">
        <v>10</v>
      </c>
      <c r="J14" s="17" t="n">
        <v>28</v>
      </c>
      <c r="K14" s="17" t="n">
        <v>59</v>
      </c>
      <c r="L14" s="17" t="n">
        <v>46</v>
      </c>
      <c r="M14" s="17" t="n">
        <v>133</v>
      </c>
    </row>
    <row r="15">
      <c r="A15" s="18" t="n">
        <v>3926170</v>
      </c>
      <c r="B15" s="18" t="inlineStr">
        <is>
          <t>121</t>
        </is>
      </c>
      <c r="C15" s="18" t="inlineStr">
        <is>
          <t>A</t>
        </is>
      </c>
      <c r="D15" s="18" t="inlineStr">
        <is>
          <t>03</t>
        </is>
      </c>
      <c r="E15" s="19" t="inlineStr">
        <is>
          <t>Textron India Toastmasters Club</t>
        </is>
      </c>
      <c r="F15" s="18" t="inlineStr">
        <is>
          <t>Active</t>
        </is>
      </c>
      <c r="G15" s="20" t="n">
        <v>33</v>
      </c>
      <c r="H15" s="20" t="n">
        <v>37</v>
      </c>
      <c r="I15" s="20" t="n">
        <v>10</v>
      </c>
      <c r="J15" s="20" t="n">
        <v>23</v>
      </c>
      <c r="K15" s="20" t="n">
        <v>22</v>
      </c>
      <c r="L15" s="20" t="n">
        <v>27</v>
      </c>
      <c r="M15" s="20" t="n">
        <v>72</v>
      </c>
    </row>
    <row r="16">
      <c r="A16" s="15" t="n">
        <v>6479232</v>
      </c>
      <c r="B16" s="15" t="inlineStr">
        <is>
          <t>121</t>
        </is>
      </c>
      <c r="C16" s="15" t="inlineStr">
        <is>
          <t>A</t>
        </is>
      </c>
      <c r="D16" s="15" t="inlineStr">
        <is>
          <t>03</t>
        </is>
      </c>
      <c r="E16" s="16" t="inlineStr">
        <is>
          <t>Mphasis Speech Crafters</t>
        </is>
      </c>
      <c r="F16" s="15" t="inlineStr">
        <is>
          <t>Active</t>
        </is>
      </c>
      <c r="G16" s="17" t="n">
        <v>23</v>
      </c>
      <c r="H16" s="17" t="n">
        <v>30</v>
      </c>
      <c r="I16" s="17" t="n">
        <v>10</v>
      </c>
      <c r="J16" s="17" t="n">
        <v>31</v>
      </c>
      <c r="K16" s="17" t="n">
        <v>14</v>
      </c>
      <c r="L16" s="17" t="n">
        <v>11</v>
      </c>
      <c r="M16" s="17" t="n">
        <v>56</v>
      </c>
    </row>
    <row r="17">
      <c r="A17" s="18" t="n">
        <v>28678028</v>
      </c>
      <c r="B17" s="18" t="inlineStr">
        <is>
          <t>121</t>
        </is>
      </c>
      <c r="C17" s="18" t="inlineStr">
        <is>
          <t>A</t>
        </is>
      </c>
      <c r="D17" s="18" t="inlineStr">
        <is>
          <t>03</t>
        </is>
      </c>
      <c r="E17" s="19" t="inlineStr">
        <is>
          <t>Namaste Orators</t>
        </is>
      </c>
      <c r="F17" s="18" t="inlineStr">
        <is>
          <t>Suspended</t>
        </is>
      </c>
      <c r="G17" s="20" t="n">
        <v>10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</row>
    <row r="18">
      <c r="A18" s="15" t="n">
        <v>28678938</v>
      </c>
      <c r="B18" s="15" t="inlineStr">
        <is>
          <t>121</t>
        </is>
      </c>
      <c r="C18" s="15" t="inlineStr">
        <is>
          <t>A</t>
        </is>
      </c>
      <c r="D18" s="15" t="inlineStr">
        <is>
          <t>03</t>
        </is>
      </c>
      <c r="E18" s="16" t="inlineStr">
        <is>
          <t>DSBA Toastmaster Club</t>
        </is>
      </c>
      <c r="F18" s="15" t="inlineStr">
        <is>
          <t>Active</t>
        </is>
      </c>
      <c r="G18" s="17" t="n">
        <v>28</v>
      </c>
      <c r="H18" s="17" t="n">
        <v>26</v>
      </c>
      <c r="I18" s="17" t="n">
        <v>5</v>
      </c>
      <c r="J18" s="17" t="n">
        <v>19</v>
      </c>
      <c r="K18" s="17" t="n">
        <v>14</v>
      </c>
      <c r="L18" s="17" t="n">
        <v>7</v>
      </c>
      <c r="M18" s="17" t="n">
        <v>40</v>
      </c>
    </row>
    <row r="19">
      <c r="A19" s="18" t="n">
        <v>28679826</v>
      </c>
      <c r="B19" s="18" t="inlineStr">
        <is>
          <t>121</t>
        </is>
      </c>
      <c r="C19" s="18" t="inlineStr">
        <is>
          <t>A</t>
        </is>
      </c>
      <c r="D19" s="18" t="inlineStr">
        <is>
          <t>03</t>
        </is>
      </c>
      <c r="E19" s="19" t="inlineStr">
        <is>
          <t>DSBA Toastmasters Legacy Club</t>
        </is>
      </c>
      <c r="F19" s="18" t="inlineStr">
        <is>
          <t>Active</t>
        </is>
      </c>
      <c r="G19" s="20" t="n">
        <v>27</v>
      </c>
      <c r="H19" s="20" t="n">
        <v>27</v>
      </c>
      <c r="I19" s="20" t="n">
        <v>1</v>
      </c>
      <c r="J19" s="20" t="n">
        <v>0</v>
      </c>
      <c r="K19" s="20" t="n">
        <v>0</v>
      </c>
      <c r="L19" s="20" t="n">
        <v>27</v>
      </c>
      <c r="M19" s="20" t="n">
        <v>54</v>
      </c>
    </row>
    <row r="20">
      <c r="A20" s="15" t="n">
        <v>7991317</v>
      </c>
      <c r="B20" s="15" t="inlineStr">
        <is>
          <t>121</t>
        </is>
      </c>
      <c r="C20" s="15" t="inlineStr">
        <is>
          <t>A</t>
        </is>
      </c>
      <c r="D20" s="15" t="inlineStr">
        <is>
          <t>04</t>
        </is>
      </c>
      <c r="E20" s="16" t="inlineStr">
        <is>
          <t>Eloquence Elixir Toastmasters</t>
        </is>
      </c>
      <c r="F20" s="15" t="inlineStr">
        <is>
          <t>Active</t>
        </is>
      </c>
      <c r="G20" s="17" t="n">
        <v>21</v>
      </c>
      <c r="H20" s="17" t="n">
        <v>16</v>
      </c>
      <c r="I20" s="17" t="n">
        <v>6</v>
      </c>
      <c r="J20" s="17" t="n">
        <v>10</v>
      </c>
      <c r="K20" s="17" t="n">
        <v>15</v>
      </c>
      <c r="L20" s="17" t="n">
        <v>13</v>
      </c>
      <c r="M20" s="17" t="n">
        <v>38</v>
      </c>
    </row>
    <row r="21">
      <c r="A21" s="18" t="n">
        <v>28675492</v>
      </c>
      <c r="B21" s="18" t="inlineStr">
        <is>
          <t>121</t>
        </is>
      </c>
      <c r="C21" s="18" t="inlineStr">
        <is>
          <t>A</t>
        </is>
      </c>
      <c r="D21" s="18" t="inlineStr">
        <is>
          <t>04</t>
        </is>
      </c>
      <c r="E21" s="19" t="inlineStr">
        <is>
          <t>Professional Orators and Leaders TM Club</t>
        </is>
      </c>
      <c r="F21" s="18" t="inlineStr">
        <is>
          <t>Active</t>
        </is>
      </c>
      <c r="G21" s="20" t="n">
        <v>25</v>
      </c>
      <c r="H21" s="20" t="n">
        <v>25</v>
      </c>
      <c r="I21" s="20" t="n">
        <v>10</v>
      </c>
      <c r="J21" s="20" t="n">
        <v>11</v>
      </c>
      <c r="K21" s="20" t="n">
        <v>21</v>
      </c>
      <c r="L21" s="20" t="n">
        <v>18</v>
      </c>
      <c r="M21" s="20" t="n">
        <v>50</v>
      </c>
    </row>
    <row r="22">
      <c r="A22" s="15" t="n">
        <v>28676363</v>
      </c>
      <c r="B22" s="15" t="inlineStr">
        <is>
          <t>121</t>
        </is>
      </c>
      <c r="C22" s="15" t="inlineStr">
        <is>
          <t>A</t>
        </is>
      </c>
      <c r="D22" s="15" t="inlineStr">
        <is>
          <t>04</t>
        </is>
      </c>
      <c r="E22" s="16" t="inlineStr">
        <is>
          <t>Nagarabhavi Toastmasters Club</t>
        </is>
      </c>
      <c r="F22" s="15" t="inlineStr">
        <is>
          <t>Active</t>
        </is>
      </c>
      <c r="G22" s="17" t="n">
        <v>20</v>
      </c>
      <c r="H22" s="17" t="n">
        <v>10</v>
      </c>
      <c r="I22" s="17" t="n">
        <v>8</v>
      </c>
      <c r="J22" s="17" t="n">
        <v>12</v>
      </c>
      <c r="K22" s="17" t="n">
        <v>14</v>
      </c>
      <c r="L22" s="17" t="n">
        <v>8</v>
      </c>
      <c r="M22" s="17" t="n">
        <v>34</v>
      </c>
    </row>
    <row r="23">
      <c r="A23" s="18" t="n">
        <v>28677190</v>
      </c>
      <c r="B23" s="18" t="inlineStr">
        <is>
          <t>121</t>
        </is>
      </c>
      <c r="C23" s="18" t="inlineStr">
        <is>
          <t>A</t>
        </is>
      </c>
      <c r="D23" s="18" t="inlineStr">
        <is>
          <t>04</t>
        </is>
      </c>
      <c r="E23" s="19" t="inlineStr">
        <is>
          <t>Christ Kengeri Club</t>
        </is>
      </c>
      <c r="F23" s="18" t="inlineStr">
        <is>
          <t>Active</t>
        </is>
      </c>
      <c r="G23" s="20" t="n">
        <v>32</v>
      </c>
      <c r="H23" s="20" t="n">
        <v>13</v>
      </c>
      <c r="I23" s="20" t="n">
        <v>7</v>
      </c>
      <c r="J23" s="20" t="n">
        <v>15</v>
      </c>
      <c r="K23" s="20" t="n">
        <v>19</v>
      </c>
      <c r="L23" s="20" t="n">
        <v>13</v>
      </c>
      <c r="M23" s="20" t="n">
        <v>47</v>
      </c>
    </row>
    <row r="24">
      <c r="A24" s="15" t="n">
        <v>28677268</v>
      </c>
      <c r="B24" s="15" t="inlineStr">
        <is>
          <t>121</t>
        </is>
      </c>
      <c r="C24" s="15" t="inlineStr">
        <is>
          <t>A</t>
        </is>
      </c>
      <c r="D24" s="15" t="inlineStr">
        <is>
          <t>04</t>
        </is>
      </c>
      <c r="E24" s="16" t="inlineStr">
        <is>
          <t>ABBS Toastmasters Club</t>
        </is>
      </c>
      <c r="F24" s="15" t="inlineStr">
        <is>
          <t>Active</t>
        </is>
      </c>
      <c r="G24" s="17" t="n">
        <v>8</v>
      </c>
      <c r="H24" s="17" t="n">
        <v>17</v>
      </c>
      <c r="I24" s="17" t="n">
        <v>7</v>
      </c>
      <c r="J24" s="17" t="n">
        <v>18</v>
      </c>
      <c r="K24" s="17" t="n">
        <v>4</v>
      </c>
      <c r="L24" s="17" t="n">
        <v>5</v>
      </c>
      <c r="M24" s="17" t="n">
        <v>27</v>
      </c>
    </row>
    <row r="25">
      <c r="A25" s="18" t="n">
        <v>631732</v>
      </c>
      <c r="B25" s="18" t="inlineStr">
        <is>
          <t>121</t>
        </is>
      </c>
      <c r="C25" s="18" t="inlineStr">
        <is>
          <t>A</t>
        </is>
      </c>
      <c r="D25" s="18" t="inlineStr">
        <is>
          <t>05</t>
        </is>
      </c>
      <c r="E25" s="19" t="inlineStr">
        <is>
          <t>Mahaveer Speakers Forum Toastmaster Club</t>
        </is>
      </c>
      <c r="F25" s="18" t="inlineStr">
        <is>
          <t>Active</t>
        </is>
      </c>
      <c r="G25" s="20" t="n">
        <v>20</v>
      </c>
      <c r="H25" s="20" t="n">
        <v>8</v>
      </c>
      <c r="I25" s="20" t="n">
        <v>6</v>
      </c>
      <c r="J25" s="20" t="n">
        <v>7</v>
      </c>
      <c r="K25" s="20" t="n">
        <v>14</v>
      </c>
      <c r="L25" s="20" t="n">
        <v>8</v>
      </c>
      <c r="M25" s="20" t="n">
        <v>29</v>
      </c>
    </row>
    <row r="26">
      <c r="A26" s="15" t="n">
        <v>632019</v>
      </c>
      <c r="B26" s="15" t="inlineStr">
        <is>
          <t>121</t>
        </is>
      </c>
      <c r="C26" s="15" t="inlineStr">
        <is>
          <t>A</t>
        </is>
      </c>
      <c r="D26" s="15" t="inlineStr">
        <is>
          <t>05</t>
        </is>
      </c>
      <c r="E26" s="16" t="inlineStr">
        <is>
          <t>Jain Speakers Forum Toastmasters Club</t>
        </is>
      </c>
      <c r="F26" s="15" t="inlineStr">
        <is>
          <t>Active</t>
        </is>
      </c>
      <c r="G26" s="17" t="n">
        <v>20</v>
      </c>
      <c r="H26" s="17" t="n">
        <v>8</v>
      </c>
      <c r="I26" s="17" t="n">
        <v>6</v>
      </c>
      <c r="J26" s="17" t="n">
        <v>4</v>
      </c>
      <c r="K26" s="17" t="n">
        <v>15</v>
      </c>
      <c r="L26" s="17" t="n">
        <v>8</v>
      </c>
      <c r="M26" s="17" t="n">
        <v>27</v>
      </c>
    </row>
    <row r="27">
      <c r="A27" s="18" t="n">
        <v>843177</v>
      </c>
      <c r="B27" s="18" t="inlineStr">
        <is>
          <t>121</t>
        </is>
      </c>
      <c r="C27" s="18" t="inlineStr">
        <is>
          <t>A</t>
        </is>
      </c>
      <c r="D27" s="18" t="inlineStr">
        <is>
          <t>05</t>
        </is>
      </c>
      <c r="E27" s="19" t="inlineStr">
        <is>
          <t>Talk Master CMS Toastmasters Club</t>
        </is>
      </c>
      <c r="F27" s="18" t="inlineStr">
        <is>
          <t>Active</t>
        </is>
      </c>
      <c r="G27" s="20" t="n">
        <v>20</v>
      </c>
      <c r="H27" s="20" t="n">
        <v>8</v>
      </c>
      <c r="I27" s="20" t="n">
        <v>5</v>
      </c>
      <c r="J27" s="20" t="n">
        <v>2</v>
      </c>
      <c r="K27" s="20" t="n">
        <v>16</v>
      </c>
      <c r="L27" s="20" t="n">
        <v>8</v>
      </c>
      <c r="M27" s="20" t="n">
        <v>26</v>
      </c>
    </row>
    <row r="28">
      <c r="A28" s="15" t="n">
        <v>843182</v>
      </c>
      <c r="B28" s="15" t="inlineStr">
        <is>
          <t>121</t>
        </is>
      </c>
      <c r="C28" s="15" t="inlineStr">
        <is>
          <t>A</t>
        </is>
      </c>
      <c r="D28" s="15" t="inlineStr">
        <is>
          <t>05</t>
        </is>
      </c>
      <c r="E28" s="16" t="inlineStr">
        <is>
          <t>Speech Master CMS Toastmasters Club</t>
        </is>
      </c>
      <c r="F28" s="15" t="inlineStr">
        <is>
          <t>Active</t>
        </is>
      </c>
      <c r="G28" s="17" t="n">
        <v>20</v>
      </c>
      <c r="H28" s="17" t="n">
        <v>9</v>
      </c>
      <c r="I28" s="17" t="n">
        <v>4</v>
      </c>
      <c r="J28" s="17" t="n">
        <v>4</v>
      </c>
      <c r="K28" s="17" t="n">
        <v>16</v>
      </c>
      <c r="L28" s="17" t="n">
        <v>8</v>
      </c>
      <c r="M28" s="17" t="n">
        <v>28</v>
      </c>
    </row>
    <row r="29">
      <c r="A29" s="18" t="n">
        <v>7335393</v>
      </c>
      <c r="B29" s="18" t="inlineStr">
        <is>
          <t>121</t>
        </is>
      </c>
      <c r="C29" s="18" t="inlineStr">
        <is>
          <t>B</t>
        </is>
      </c>
      <c r="D29" s="18" t="inlineStr">
        <is>
          <t>01</t>
        </is>
      </c>
      <c r="E29" s="19" t="inlineStr">
        <is>
          <t>Shivamogga Toastmasters</t>
        </is>
      </c>
      <c r="F29" s="18" t="inlineStr">
        <is>
          <t>Active</t>
        </is>
      </c>
      <c r="G29" s="20" t="n">
        <v>11</v>
      </c>
      <c r="H29" s="20" t="n">
        <v>9</v>
      </c>
      <c r="I29" s="20" t="n">
        <v>4</v>
      </c>
      <c r="J29" s="20" t="n">
        <v>5</v>
      </c>
      <c r="K29" s="20" t="n">
        <v>5</v>
      </c>
      <c r="L29" s="20" t="n">
        <v>7</v>
      </c>
      <c r="M29" s="20" t="n">
        <v>17</v>
      </c>
    </row>
    <row r="30">
      <c r="A30" s="15" t="n">
        <v>28675426</v>
      </c>
      <c r="B30" s="15" t="inlineStr">
        <is>
          <t>121</t>
        </is>
      </c>
      <c r="C30" s="15" t="inlineStr">
        <is>
          <t>B</t>
        </is>
      </c>
      <c r="D30" s="15" t="inlineStr">
        <is>
          <t>01</t>
        </is>
      </c>
      <c r="E30" s="16" t="inlineStr">
        <is>
          <t>Valyou Toastmasters</t>
        </is>
      </c>
      <c r="F30" s="15" t="inlineStr">
        <is>
          <t>Suspended</t>
        </is>
      </c>
      <c r="G30" s="17" t="n">
        <v>8</v>
      </c>
      <c r="H30" s="17" t="n">
        <v>0</v>
      </c>
      <c r="I30" s="17" t="n">
        <v>0</v>
      </c>
      <c r="J30" s="17" t="n">
        <v>1</v>
      </c>
      <c r="K30" s="17" t="n">
        <v>5</v>
      </c>
      <c r="L30" s="17" t="n">
        <v>0</v>
      </c>
      <c r="M30" s="17" t="n">
        <v>6</v>
      </c>
    </row>
    <row r="31">
      <c r="A31" s="18" t="n">
        <v>28676014</v>
      </c>
      <c r="B31" s="18" t="inlineStr">
        <is>
          <t>121</t>
        </is>
      </c>
      <c r="C31" s="18" t="inlineStr">
        <is>
          <t>B</t>
        </is>
      </c>
      <c r="D31" s="18" t="inlineStr">
        <is>
          <t>01</t>
        </is>
      </c>
      <c r="E31" s="19" t="inlineStr">
        <is>
          <t>Autodesk Toastmasters Club</t>
        </is>
      </c>
      <c r="F31" s="18" t="inlineStr">
        <is>
          <t>Active</t>
        </is>
      </c>
      <c r="G31" s="20" t="n">
        <v>51</v>
      </c>
      <c r="H31" s="20" t="n">
        <v>83</v>
      </c>
      <c r="I31" s="20" t="n">
        <v>10</v>
      </c>
      <c r="J31" s="20" t="n">
        <v>98</v>
      </c>
      <c r="K31" s="20" t="n">
        <v>25</v>
      </c>
      <c r="L31" s="20" t="n">
        <v>42</v>
      </c>
      <c r="M31" s="20" t="n">
        <v>165</v>
      </c>
    </row>
    <row r="32">
      <c r="A32" s="15" t="n">
        <v>28676901</v>
      </c>
      <c r="B32" s="15" t="inlineStr">
        <is>
          <t>121</t>
        </is>
      </c>
      <c r="C32" s="15" t="inlineStr">
        <is>
          <t>B</t>
        </is>
      </c>
      <c r="D32" s="15" t="inlineStr">
        <is>
          <t>01</t>
        </is>
      </c>
      <c r="E32" s="16" t="inlineStr">
        <is>
          <t>Accenture Toasters</t>
        </is>
      </c>
      <c r="F32" s="15" t="inlineStr">
        <is>
          <t>Active</t>
        </is>
      </c>
      <c r="G32" s="17" t="n">
        <v>25</v>
      </c>
      <c r="H32" s="17" t="n">
        <v>32</v>
      </c>
      <c r="I32" s="17" t="n">
        <v>7</v>
      </c>
      <c r="J32" s="17" t="n">
        <v>27</v>
      </c>
      <c r="K32" s="17" t="n">
        <v>18</v>
      </c>
      <c r="L32" s="17" t="n">
        <v>20</v>
      </c>
      <c r="M32" s="17" t="n">
        <v>65</v>
      </c>
    </row>
    <row r="33">
      <c r="A33" s="18" t="n">
        <v>28678720</v>
      </c>
      <c r="B33" s="18" t="inlineStr">
        <is>
          <t>121</t>
        </is>
      </c>
      <c r="C33" s="18" t="inlineStr">
        <is>
          <t>B</t>
        </is>
      </c>
      <c r="D33" s="18" t="inlineStr">
        <is>
          <t>01</t>
        </is>
      </c>
      <c r="E33" s="19" t="inlineStr">
        <is>
          <t>Acharyas Speaking Forum</t>
        </is>
      </c>
      <c r="F33" s="18" t="inlineStr">
        <is>
          <t>Ineligible</t>
        </is>
      </c>
      <c r="G33" s="20" t="n">
        <v>20</v>
      </c>
      <c r="H33" s="20" t="n">
        <v>0</v>
      </c>
      <c r="I33" s="20" t="n">
        <v>5</v>
      </c>
      <c r="J33" s="20" t="n">
        <v>0</v>
      </c>
      <c r="K33" s="20" t="n">
        <v>20</v>
      </c>
      <c r="L33" s="20" t="n">
        <v>0</v>
      </c>
      <c r="M33" s="20" t="n">
        <v>20</v>
      </c>
    </row>
    <row r="34">
      <c r="A34" s="15" t="n">
        <v>28678997</v>
      </c>
      <c r="B34" s="15" t="inlineStr">
        <is>
          <t>121</t>
        </is>
      </c>
      <c r="C34" s="15" t="inlineStr">
        <is>
          <t>B</t>
        </is>
      </c>
      <c r="D34" s="15" t="inlineStr">
        <is>
          <t>01</t>
        </is>
      </c>
      <c r="E34" s="16" t="inlineStr">
        <is>
          <t>Paychex Catalyst Crew 2</t>
        </is>
      </c>
      <c r="F34" s="15" t="inlineStr">
        <is>
          <t>Ineligible</t>
        </is>
      </c>
      <c r="G34" s="17" t="n">
        <v>55</v>
      </c>
      <c r="H34" s="17" t="n">
        <v>0</v>
      </c>
      <c r="I34" s="17" t="n">
        <v>2</v>
      </c>
      <c r="J34" s="17" t="n">
        <v>18</v>
      </c>
      <c r="K34" s="17" t="n">
        <v>0</v>
      </c>
      <c r="L34" s="17" t="n">
        <v>0</v>
      </c>
      <c r="M34" s="17" t="n">
        <v>73</v>
      </c>
    </row>
    <row r="35">
      <c r="A35" s="18" t="n">
        <v>547</v>
      </c>
      <c r="B35" s="18" t="inlineStr">
        <is>
          <t>121</t>
        </is>
      </c>
      <c r="C35" s="18" t="inlineStr">
        <is>
          <t>B</t>
        </is>
      </c>
      <c r="D35" s="18" t="inlineStr">
        <is>
          <t>02</t>
        </is>
      </c>
      <c r="E35" s="19" t="inlineStr">
        <is>
          <t>deejays Toastmasters</t>
        </is>
      </c>
      <c r="F35" s="18" t="inlineStr">
        <is>
          <t>Active</t>
        </is>
      </c>
      <c r="G35" s="20" t="n">
        <v>20</v>
      </c>
      <c r="H35" s="20" t="n">
        <v>10</v>
      </c>
      <c r="I35" s="20" t="n">
        <v>5</v>
      </c>
      <c r="J35" s="20" t="n">
        <v>6</v>
      </c>
      <c r="K35" s="20" t="n">
        <v>12</v>
      </c>
      <c r="L35" s="20" t="n">
        <v>10</v>
      </c>
      <c r="M35" s="20" t="n">
        <v>28</v>
      </c>
    </row>
    <row r="36">
      <c r="A36" s="15" t="n">
        <v>7734175</v>
      </c>
      <c r="B36" s="15" t="inlineStr">
        <is>
          <t>121</t>
        </is>
      </c>
      <c r="C36" s="15" t="inlineStr">
        <is>
          <t>B</t>
        </is>
      </c>
      <c r="D36" s="15" t="inlineStr">
        <is>
          <t>02</t>
        </is>
      </c>
      <c r="E36" s="16" t="inlineStr">
        <is>
          <t>Republic of Toastmasters</t>
        </is>
      </c>
      <c r="F36" s="15" t="inlineStr">
        <is>
          <t>Active</t>
        </is>
      </c>
      <c r="G36" s="17" t="n">
        <v>20</v>
      </c>
      <c r="H36" s="17" t="n">
        <v>20</v>
      </c>
      <c r="I36" s="17" t="n">
        <v>10</v>
      </c>
      <c r="J36" s="17" t="n">
        <v>23</v>
      </c>
      <c r="K36" s="17" t="n">
        <v>8</v>
      </c>
      <c r="L36" s="17" t="n">
        <v>10</v>
      </c>
      <c r="M36" s="17" t="n">
        <v>41</v>
      </c>
    </row>
    <row r="37">
      <c r="A37" s="18" t="n">
        <v>28677183</v>
      </c>
      <c r="B37" s="18" t="inlineStr">
        <is>
          <t>121</t>
        </is>
      </c>
      <c r="C37" s="18" t="inlineStr">
        <is>
          <t>B</t>
        </is>
      </c>
      <c r="D37" s="18" t="inlineStr">
        <is>
          <t>02</t>
        </is>
      </c>
      <c r="E37" s="19" t="inlineStr">
        <is>
          <t>Titans Toastmasters Club</t>
        </is>
      </c>
      <c r="F37" s="18" t="inlineStr">
        <is>
          <t>Active</t>
        </is>
      </c>
      <c r="G37" s="20" t="n">
        <v>16</v>
      </c>
      <c r="H37" s="20" t="n">
        <v>13</v>
      </c>
      <c r="I37" s="20" t="n">
        <v>4</v>
      </c>
      <c r="J37" s="20" t="n">
        <v>10</v>
      </c>
      <c r="K37" s="20" t="n">
        <v>14</v>
      </c>
      <c r="L37" s="20" t="n">
        <v>9</v>
      </c>
      <c r="M37" s="20" t="n">
        <v>33</v>
      </c>
    </row>
    <row r="38">
      <c r="A38" s="15" t="n">
        <v>28678400</v>
      </c>
      <c r="B38" s="15" t="inlineStr">
        <is>
          <t>121</t>
        </is>
      </c>
      <c r="C38" s="15" t="inlineStr">
        <is>
          <t>B</t>
        </is>
      </c>
      <c r="D38" s="15" t="inlineStr">
        <is>
          <t>02</t>
        </is>
      </c>
      <c r="E38" s="16" t="inlineStr">
        <is>
          <t>Voices of Pearson Toastmasters Club</t>
        </is>
      </c>
      <c r="F38" s="15" t="inlineStr">
        <is>
          <t>Active</t>
        </is>
      </c>
      <c r="G38" s="17" t="n">
        <v>34</v>
      </c>
      <c r="H38" s="17" t="n">
        <v>23</v>
      </c>
      <c r="I38" s="17" t="n">
        <v>5</v>
      </c>
      <c r="J38" s="17" t="n">
        <v>23</v>
      </c>
      <c r="K38" s="17" t="n">
        <v>26</v>
      </c>
      <c r="L38" s="17" t="n">
        <v>11</v>
      </c>
      <c r="M38" s="17" t="n">
        <v>60</v>
      </c>
    </row>
    <row r="39">
      <c r="A39" s="18" t="n">
        <v>28678746</v>
      </c>
      <c r="B39" s="18" t="inlineStr">
        <is>
          <t>121</t>
        </is>
      </c>
      <c r="C39" s="18" t="inlineStr">
        <is>
          <t>B</t>
        </is>
      </c>
      <c r="D39" s="18" t="inlineStr">
        <is>
          <t>02</t>
        </is>
      </c>
      <c r="E39" s="19" t="inlineStr">
        <is>
          <t>The Orator's Society</t>
        </is>
      </c>
      <c r="F39" s="18" t="inlineStr">
        <is>
          <t>Suspended</t>
        </is>
      </c>
      <c r="G39" s="20" t="n">
        <v>50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</row>
    <row r="40">
      <c r="A40" s="15" t="n">
        <v>6975394</v>
      </c>
      <c r="B40" s="15" t="inlineStr">
        <is>
          <t>121</t>
        </is>
      </c>
      <c r="C40" s="15" t="inlineStr">
        <is>
          <t>B</t>
        </is>
      </c>
      <c r="D40" s="15" t="inlineStr">
        <is>
          <t>03</t>
        </is>
      </c>
      <c r="E40" s="16" t="inlineStr">
        <is>
          <t>Toastmasters of HP</t>
        </is>
      </c>
      <c r="F40" s="15" t="inlineStr">
        <is>
          <t>Active</t>
        </is>
      </c>
      <c r="G40" s="17" t="n">
        <v>20</v>
      </c>
      <c r="H40" s="17" t="n">
        <v>28</v>
      </c>
      <c r="I40" s="17" t="n">
        <v>10</v>
      </c>
      <c r="J40" s="17" t="n">
        <v>22</v>
      </c>
      <c r="K40" s="17" t="n">
        <v>13</v>
      </c>
      <c r="L40" s="17" t="n">
        <v>18</v>
      </c>
      <c r="M40" s="17" t="n">
        <v>53</v>
      </c>
    </row>
    <row r="41">
      <c r="A41" s="18" t="n">
        <v>7908984</v>
      </c>
      <c r="B41" s="18" t="inlineStr">
        <is>
          <t>121</t>
        </is>
      </c>
      <c r="C41" s="18" t="inlineStr">
        <is>
          <t>B</t>
        </is>
      </c>
      <c r="D41" s="18" t="inlineStr">
        <is>
          <t>03</t>
        </is>
      </c>
      <c r="E41" s="19" t="inlineStr">
        <is>
          <t>RCB Griffin</t>
        </is>
      </c>
      <c r="F41" s="18" t="inlineStr">
        <is>
          <t>Active</t>
        </is>
      </c>
      <c r="G41" s="20" t="n">
        <v>29</v>
      </c>
      <c r="H41" s="20" t="n">
        <v>25</v>
      </c>
      <c r="I41" s="20" t="n">
        <v>10</v>
      </c>
      <c r="J41" s="20" t="n">
        <v>13</v>
      </c>
      <c r="K41" s="20" t="n">
        <v>19</v>
      </c>
      <c r="L41" s="20" t="n">
        <v>12</v>
      </c>
      <c r="M41" s="20" t="n">
        <v>44</v>
      </c>
    </row>
    <row r="42">
      <c r="A42" s="15" t="n">
        <v>7908988</v>
      </c>
      <c r="B42" s="15" t="inlineStr">
        <is>
          <t>121</t>
        </is>
      </c>
      <c r="C42" s="15" t="inlineStr">
        <is>
          <t>B</t>
        </is>
      </c>
      <c r="D42" s="15" t="inlineStr">
        <is>
          <t>03</t>
        </is>
      </c>
      <c r="E42" s="16" t="inlineStr">
        <is>
          <t>RCB Pegasus</t>
        </is>
      </c>
      <c r="F42" s="15" t="inlineStr">
        <is>
          <t>Active</t>
        </is>
      </c>
      <c r="G42" s="17" t="n">
        <v>27</v>
      </c>
      <c r="H42" s="17" t="n">
        <v>25</v>
      </c>
      <c r="I42" s="17" t="n">
        <v>10</v>
      </c>
      <c r="J42" s="17" t="n">
        <v>13</v>
      </c>
      <c r="K42" s="17" t="n">
        <v>17</v>
      </c>
      <c r="L42" s="17" t="n">
        <v>12</v>
      </c>
      <c r="M42" s="17" t="n">
        <v>42</v>
      </c>
    </row>
    <row r="43">
      <c r="A43" s="18" t="n">
        <v>7908991</v>
      </c>
      <c r="B43" s="18" t="inlineStr">
        <is>
          <t>121</t>
        </is>
      </c>
      <c r="C43" s="18" t="inlineStr">
        <is>
          <t>B</t>
        </is>
      </c>
      <c r="D43" s="18" t="inlineStr">
        <is>
          <t>03</t>
        </is>
      </c>
      <c r="E43" s="19" t="inlineStr">
        <is>
          <t>RCB Phoenix</t>
        </is>
      </c>
      <c r="F43" s="18" t="inlineStr">
        <is>
          <t>Active</t>
        </is>
      </c>
      <c r="G43" s="20" t="n">
        <v>25</v>
      </c>
      <c r="H43" s="20" t="n">
        <v>8</v>
      </c>
      <c r="I43" s="20" t="n">
        <v>8</v>
      </c>
      <c r="J43" s="20" t="n">
        <v>0</v>
      </c>
      <c r="K43" s="20" t="n">
        <v>14</v>
      </c>
      <c r="L43" s="20" t="n">
        <v>8</v>
      </c>
      <c r="M43" s="20" t="n">
        <v>22</v>
      </c>
    </row>
    <row r="44">
      <c r="A44" s="15" t="n">
        <v>28678996</v>
      </c>
      <c r="B44" s="15" t="inlineStr">
        <is>
          <t>121</t>
        </is>
      </c>
      <c r="C44" s="15" t="inlineStr">
        <is>
          <t>B</t>
        </is>
      </c>
      <c r="D44" s="15" t="inlineStr">
        <is>
          <t>03</t>
        </is>
      </c>
      <c r="E44" s="16" t="inlineStr">
        <is>
          <t>Paychex Catalyst Crew 1</t>
        </is>
      </c>
      <c r="F44" s="15" t="inlineStr">
        <is>
          <t>Ineligible</t>
        </is>
      </c>
      <c r="G44" s="17" t="n">
        <v>21</v>
      </c>
      <c r="H44" s="17" t="n">
        <v>0</v>
      </c>
      <c r="I44" s="17" t="n">
        <v>2</v>
      </c>
      <c r="J44" s="17" t="n">
        <v>16</v>
      </c>
      <c r="K44" s="17" t="n">
        <v>0</v>
      </c>
      <c r="L44" s="17" t="n">
        <v>0</v>
      </c>
      <c r="M44" s="17" t="n">
        <v>37</v>
      </c>
    </row>
    <row r="45">
      <c r="A45" s="18" t="n">
        <v>28679255</v>
      </c>
      <c r="B45" s="18" t="inlineStr">
        <is>
          <t>121</t>
        </is>
      </c>
      <c r="C45" s="18" t="inlineStr">
        <is>
          <t>B</t>
        </is>
      </c>
      <c r="D45" s="18" t="inlineStr">
        <is>
          <t>03</t>
        </is>
      </c>
      <c r="E45" s="19" t="inlineStr">
        <is>
          <t>Aurigo Toastbusters</t>
        </is>
      </c>
      <c r="F45" s="18" t="inlineStr">
        <is>
          <t>Suspended</t>
        </is>
      </c>
      <c r="G45" s="20" t="n">
        <v>26</v>
      </c>
      <c r="H45" s="20" t="n">
        <v>0</v>
      </c>
      <c r="I45" s="20" t="n">
        <v>1</v>
      </c>
      <c r="J45" s="20" t="n">
        <v>0</v>
      </c>
      <c r="K45" s="20" t="n">
        <v>0</v>
      </c>
      <c r="L45" s="20" t="n">
        <v>0</v>
      </c>
      <c r="M45" s="20" t="n">
        <v>26</v>
      </c>
    </row>
    <row r="46">
      <c r="A46" s="15" t="n">
        <v>5868577</v>
      </c>
      <c r="B46" s="15" t="inlineStr">
        <is>
          <t>121</t>
        </is>
      </c>
      <c r="C46" s="15" t="inlineStr">
        <is>
          <t>B</t>
        </is>
      </c>
      <c r="D46" s="15" t="inlineStr">
        <is>
          <t>04</t>
        </is>
      </c>
      <c r="E46" s="16" t="inlineStr">
        <is>
          <t>Bosch Raconteurs</t>
        </is>
      </c>
      <c r="F46" s="15" t="inlineStr">
        <is>
          <t>Active</t>
        </is>
      </c>
      <c r="G46" s="17" t="n">
        <v>25</v>
      </c>
      <c r="H46" s="17" t="n">
        <v>23</v>
      </c>
      <c r="I46" s="17" t="n">
        <v>10</v>
      </c>
      <c r="J46" s="17" t="n">
        <v>12</v>
      </c>
      <c r="K46" s="17" t="n">
        <v>21</v>
      </c>
      <c r="L46" s="17" t="n">
        <v>18</v>
      </c>
      <c r="M46" s="17" t="n">
        <v>51</v>
      </c>
    </row>
    <row r="47">
      <c r="A47" s="18" t="n">
        <v>5998569</v>
      </c>
      <c r="B47" s="18" t="inlineStr">
        <is>
          <t>121</t>
        </is>
      </c>
      <c r="C47" s="18" t="inlineStr">
        <is>
          <t>B</t>
        </is>
      </c>
      <c r="D47" s="18" t="inlineStr">
        <is>
          <t>04</t>
        </is>
      </c>
      <c r="E47" s="19" t="inlineStr">
        <is>
          <t>BMC Bengaluru Toastmasters Club</t>
        </is>
      </c>
      <c r="F47" s="18" t="inlineStr">
        <is>
          <t>Active</t>
        </is>
      </c>
      <c r="G47" s="20" t="n">
        <v>8</v>
      </c>
      <c r="H47" s="20" t="n">
        <v>8</v>
      </c>
      <c r="I47" s="20" t="n">
        <v>4</v>
      </c>
      <c r="J47" s="20" t="n">
        <v>4</v>
      </c>
      <c r="K47" s="20" t="n">
        <v>8</v>
      </c>
      <c r="L47" s="20" t="n">
        <v>6</v>
      </c>
      <c r="M47" s="20" t="n">
        <v>18</v>
      </c>
    </row>
    <row r="48">
      <c r="A48" s="15" t="n">
        <v>7934414</v>
      </c>
      <c r="B48" s="15" t="inlineStr">
        <is>
          <t>121</t>
        </is>
      </c>
      <c r="C48" s="15" t="inlineStr">
        <is>
          <t>B</t>
        </is>
      </c>
      <c r="D48" s="15" t="inlineStr">
        <is>
          <t>04</t>
        </is>
      </c>
      <c r="E48" s="16" t="inlineStr">
        <is>
          <t>V R Advanced Toastmasters</t>
        </is>
      </c>
      <c r="F48" s="15" t="inlineStr">
        <is>
          <t>Active</t>
        </is>
      </c>
      <c r="G48" s="17" t="n">
        <v>25</v>
      </c>
      <c r="H48" s="17" t="n">
        <v>20</v>
      </c>
      <c r="I48" s="17" t="n">
        <v>7</v>
      </c>
      <c r="J48" s="17" t="n">
        <v>5</v>
      </c>
      <c r="K48" s="17" t="n">
        <v>15</v>
      </c>
      <c r="L48" s="17" t="n">
        <v>18</v>
      </c>
      <c r="M48" s="17" t="n">
        <v>38</v>
      </c>
    </row>
    <row r="49">
      <c r="A49" s="18" t="n">
        <v>28677046</v>
      </c>
      <c r="B49" s="18" t="inlineStr">
        <is>
          <t>121</t>
        </is>
      </c>
      <c r="C49" s="18" t="inlineStr">
        <is>
          <t>B</t>
        </is>
      </c>
      <c r="D49" s="18" t="inlineStr">
        <is>
          <t>04</t>
        </is>
      </c>
      <c r="E49" s="19" t="inlineStr">
        <is>
          <t>Bosch Adugodi</t>
        </is>
      </c>
      <c r="F49" s="18" t="inlineStr">
        <is>
          <t>Active</t>
        </is>
      </c>
      <c r="G49" s="20" t="n">
        <v>18</v>
      </c>
      <c r="H49" s="20" t="n">
        <v>18</v>
      </c>
      <c r="I49" s="20" t="n">
        <v>5</v>
      </c>
      <c r="J49" s="20" t="n">
        <v>16</v>
      </c>
      <c r="K49" s="20" t="n">
        <v>9</v>
      </c>
      <c r="L49" s="20" t="n">
        <v>11</v>
      </c>
      <c r="M49" s="20" t="n">
        <v>36</v>
      </c>
    </row>
    <row r="50">
      <c r="A50" s="15" t="n">
        <v>1389390</v>
      </c>
      <c r="B50" s="15" t="inlineStr">
        <is>
          <t>121</t>
        </is>
      </c>
      <c r="C50" s="15" t="inlineStr">
        <is>
          <t>C</t>
        </is>
      </c>
      <c r="D50" s="15" t="inlineStr">
        <is>
          <t>01</t>
        </is>
      </c>
      <c r="E50" s="16" t="inlineStr">
        <is>
          <t>IIMB Orators Club</t>
        </is>
      </c>
      <c r="F50" s="15" t="inlineStr">
        <is>
          <t>Active</t>
        </is>
      </c>
      <c r="G50" s="17" t="n">
        <v>58</v>
      </c>
      <c r="H50" s="17" t="n">
        <v>59</v>
      </c>
      <c r="I50" s="17" t="n">
        <v>10</v>
      </c>
      <c r="J50" s="17" t="n">
        <v>14</v>
      </c>
      <c r="K50" s="17" t="n">
        <v>52</v>
      </c>
      <c r="L50" s="17" t="n">
        <v>53</v>
      </c>
      <c r="M50" s="17" t="n">
        <v>119</v>
      </c>
    </row>
    <row r="51">
      <c r="A51" s="18" t="n">
        <v>7514725</v>
      </c>
      <c r="B51" s="18" t="inlineStr">
        <is>
          <t>121</t>
        </is>
      </c>
      <c r="C51" s="18" t="inlineStr">
        <is>
          <t>C</t>
        </is>
      </c>
      <c r="D51" s="18" t="inlineStr">
        <is>
          <t>01</t>
        </is>
      </c>
      <c r="E51" s="19" t="inlineStr">
        <is>
          <t>LKQI Toastmasters Club</t>
        </is>
      </c>
      <c r="F51" s="18" t="inlineStr">
        <is>
          <t>Active</t>
        </is>
      </c>
      <c r="G51" s="20" t="n">
        <v>20</v>
      </c>
      <c r="H51" s="20" t="n">
        <v>9</v>
      </c>
      <c r="I51" s="20" t="n">
        <v>5</v>
      </c>
      <c r="J51" s="20" t="n">
        <v>8</v>
      </c>
      <c r="K51" s="20" t="n">
        <v>9</v>
      </c>
      <c r="L51" s="20" t="n">
        <v>3</v>
      </c>
      <c r="M51" s="20" t="n">
        <v>20</v>
      </c>
    </row>
    <row r="52">
      <c r="A52" s="15" t="n">
        <v>7762021</v>
      </c>
      <c r="B52" s="15" t="inlineStr">
        <is>
          <t>121</t>
        </is>
      </c>
      <c r="C52" s="15" t="inlineStr">
        <is>
          <t>C</t>
        </is>
      </c>
      <c r="D52" s="15" t="inlineStr">
        <is>
          <t>01</t>
        </is>
      </c>
      <c r="E52" s="16" t="inlineStr">
        <is>
          <t>Christ Toastmasters Club</t>
        </is>
      </c>
      <c r="F52" s="15" t="inlineStr">
        <is>
          <t>Active</t>
        </is>
      </c>
      <c r="G52" s="17" t="n">
        <v>15</v>
      </c>
      <c r="H52" s="17" t="n">
        <v>9</v>
      </c>
      <c r="I52" s="17" t="n">
        <v>9</v>
      </c>
      <c r="J52" s="17" t="n">
        <v>7</v>
      </c>
      <c r="K52" s="17" t="n">
        <v>13</v>
      </c>
      <c r="L52" s="17" t="n">
        <v>7</v>
      </c>
      <c r="M52" s="17" t="n">
        <v>27</v>
      </c>
    </row>
    <row r="53">
      <c r="A53" s="18" t="n">
        <v>28678373</v>
      </c>
      <c r="B53" s="18" t="inlineStr">
        <is>
          <t>121</t>
        </is>
      </c>
      <c r="C53" s="18" t="inlineStr">
        <is>
          <t>C</t>
        </is>
      </c>
      <c r="D53" s="18" t="inlineStr">
        <is>
          <t>01</t>
        </is>
      </c>
      <c r="E53" s="19" t="inlineStr">
        <is>
          <t>Sense-say-tional Toastmasters</t>
        </is>
      </c>
      <c r="F53" s="18" t="inlineStr">
        <is>
          <t>Low</t>
        </is>
      </c>
      <c r="G53" s="20" t="n">
        <v>20</v>
      </c>
      <c r="H53" s="20" t="n">
        <v>6</v>
      </c>
      <c r="I53" s="20" t="n">
        <v>2</v>
      </c>
      <c r="J53" s="20" t="n">
        <v>2</v>
      </c>
      <c r="K53" s="20" t="n">
        <v>12</v>
      </c>
      <c r="L53" s="20" t="n">
        <v>5</v>
      </c>
      <c r="M53" s="20" t="n">
        <v>19</v>
      </c>
    </row>
    <row r="54">
      <c r="A54" s="15" t="n">
        <v>9639</v>
      </c>
      <c r="B54" s="15" t="inlineStr">
        <is>
          <t>121</t>
        </is>
      </c>
      <c r="C54" s="15" t="inlineStr">
        <is>
          <t>C</t>
        </is>
      </c>
      <c r="D54" s="15" t="inlineStr">
        <is>
          <t>02</t>
        </is>
      </c>
      <c r="E54" s="16" t="inlineStr">
        <is>
          <t>Mecon Communication Club</t>
        </is>
      </c>
      <c r="F54" s="15" t="inlineStr">
        <is>
          <t>Active</t>
        </is>
      </c>
      <c r="G54" s="17" t="n">
        <v>39</v>
      </c>
      <c r="H54" s="17" t="n">
        <v>39</v>
      </c>
      <c r="I54" s="17" t="n">
        <v>10</v>
      </c>
      <c r="J54" s="17" t="n">
        <v>26</v>
      </c>
      <c r="K54" s="17" t="n">
        <v>26</v>
      </c>
      <c r="L54" s="17" t="n">
        <v>33</v>
      </c>
      <c r="M54" s="17" t="n">
        <v>85</v>
      </c>
    </row>
    <row r="55">
      <c r="A55" s="18" t="n">
        <v>4329635</v>
      </c>
      <c r="B55" s="18" t="inlineStr">
        <is>
          <t>121</t>
        </is>
      </c>
      <c r="C55" s="18" t="inlineStr">
        <is>
          <t>C</t>
        </is>
      </c>
      <c r="D55" s="18" t="inlineStr">
        <is>
          <t>02</t>
        </is>
      </c>
      <c r="E55" s="19" t="inlineStr">
        <is>
          <t>Tarento India Toastmasters Club</t>
        </is>
      </c>
      <c r="F55" s="18" t="inlineStr">
        <is>
          <t>Active</t>
        </is>
      </c>
      <c r="G55" s="20" t="n">
        <v>22</v>
      </c>
      <c r="H55" s="20" t="n">
        <v>17</v>
      </c>
      <c r="I55" s="20" t="n">
        <v>3</v>
      </c>
      <c r="J55" s="20" t="n">
        <v>7</v>
      </c>
      <c r="K55" s="20" t="n">
        <v>14</v>
      </c>
      <c r="L55" s="20" t="n">
        <v>12</v>
      </c>
      <c r="M55" s="20" t="n">
        <v>33</v>
      </c>
    </row>
    <row r="56">
      <c r="A56" s="15" t="n">
        <v>6584495</v>
      </c>
      <c r="B56" s="15" t="inlineStr">
        <is>
          <t>121</t>
        </is>
      </c>
      <c r="C56" s="15" t="inlineStr">
        <is>
          <t>C</t>
        </is>
      </c>
      <c r="D56" s="15" t="inlineStr">
        <is>
          <t>02</t>
        </is>
      </c>
      <c r="E56" s="16" t="inlineStr">
        <is>
          <t>The Impressions</t>
        </is>
      </c>
      <c r="F56" s="15" t="inlineStr">
        <is>
          <t>Suspended</t>
        </is>
      </c>
      <c r="G56" s="17" t="n">
        <v>8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A57" s="18" t="n">
        <v>28675687</v>
      </c>
      <c r="B57" s="18" t="inlineStr">
        <is>
          <t>121</t>
        </is>
      </c>
      <c r="C57" s="18" t="inlineStr">
        <is>
          <t>C</t>
        </is>
      </c>
      <c r="D57" s="18" t="inlineStr">
        <is>
          <t>02</t>
        </is>
      </c>
      <c r="E57" s="19" t="inlineStr">
        <is>
          <t>School of Commerce, Jain University Toastmasters</t>
        </is>
      </c>
      <c r="F57" s="18" t="inlineStr">
        <is>
          <t>Active</t>
        </is>
      </c>
      <c r="G57" s="20" t="n">
        <v>16</v>
      </c>
      <c r="H57" s="20" t="n">
        <v>16</v>
      </c>
      <c r="I57" s="20" t="n">
        <v>5</v>
      </c>
      <c r="J57" s="20" t="n">
        <v>13</v>
      </c>
      <c r="K57" s="20" t="n">
        <v>7</v>
      </c>
      <c r="L57" s="20" t="n">
        <v>12</v>
      </c>
      <c r="M57" s="20" t="n">
        <v>32</v>
      </c>
    </row>
    <row r="58">
      <c r="A58" s="15" t="n">
        <v>2188958</v>
      </c>
      <c r="B58" s="15" t="inlineStr">
        <is>
          <t>121</t>
        </is>
      </c>
      <c r="C58" s="15" t="inlineStr">
        <is>
          <t>C</t>
        </is>
      </c>
      <c r="D58" s="15" t="inlineStr">
        <is>
          <t>03</t>
        </is>
      </c>
      <c r="E58" s="16" t="inlineStr">
        <is>
          <t>Koramangala Toastmasters Club</t>
        </is>
      </c>
      <c r="F58" s="15" t="inlineStr">
        <is>
          <t>Active</t>
        </is>
      </c>
      <c r="G58" s="17" t="n">
        <v>46</v>
      </c>
      <c r="H58" s="17" t="n">
        <v>46</v>
      </c>
      <c r="I58" s="17" t="n">
        <v>10</v>
      </c>
      <c r="J58" s="17" t="n">
        <v>32</v>
      </c>
      <c r="K58" s="17" t="n">
        <v>39</v>
      </c>
      <c r="L58" s="17" t="n">
        <v>39</v>
      </c>
      <c r="M58" s="17" t="n">
        <v>110</v>
      </c>
    </row>
    <row r="59">
      <c r="A59" s="18" t="n">
        <v>6636162</v>
      </c>
      <c r="B59" s="18" t="inlineStr">
        <is>
          <t>121</t>
        </is>
      </c>
      <c r="C59" s="18" t="inlineStr">
        <is>
          <t>C</t>
        </is>
      </c>
      <c r="D59" s="18" t="inlineStr">
        <is>
          <t>03</t>
        </is>
      </c>
      <c r="E59" s="19" t="inlineStr">
        <is>
          <t>BTM Toastmasters Club</t>
        </is>
      </c>
      <c r="F59" s="18" t="inlineStr">
        <is>
          <t>Active</t>
        </is>
      </c>
      <c r="G59" s="20" t="n">
        <v>30</v>
      </c>
      <c r="H59" s="20" t="n">
        <v>29</v>
      </c>
      <c r="I59" s="20" t="n">
        <v>10</v>
      </c>
      <c r="J59" s="20" t="n">
        <v>19</v>
      </c>
      <c r="K59" s="20" t="n">
        <v>20</v>
      </c>
      <c r="L59" s="20" t="n">
        <v>19</v>
      </c>
      <c r="M59" s="20" t="n">
        <v>58</v>
      </c>
    </row>
    <row r="60">
      <c r="A60" s="15" t="n">
        <v>6636175</v>
      </c>
      <c r="B60" s="15" t="inlineStr">
        <is>
          <t>121</t>
        </is>
      </c>
      <c r="C60" s="15" t="inlineStr">
        <is>
          <t>C</t>
        </is>
      </c>
      <c r="D60" s="15" t="inlineStr">
        <is>
          <t>03</t>
        </is>
      </c>
      <c r="E60" s="16" t="inlineStr">
        <is>
          <t>Clinisys Toastmasters Club</t>
        </is>
      </c>
      <c r="F60" s="15" t="inlineStr">
        <is>
          <t>Active</t>
        </is>
      </c>
      <c r="G60" s="17" t="n">
        <v>10</v>
      </c>
      <c r="H60" s="17" t="n">
        <v>13</v>
      </c>
      <c r="I60" s="17" t="n">
        <v>3</v>
      </c>
      <c r="J60" s="17" t="n">
        <v>14</v>
      </c>
      <c r="K60" s="17" t="n">
        <v>5</v>
      </c>
      <c r="L60" s="17" t="n">
        <v>6</v>
      </c>
      <c r="M60" s="17" t="n">
        <v>25</v>
      </c>
    </row>
    <row r="61">
      <c r="A61" s="18" t="n">
        <v>28676357</v>
      </c>
      <c r="B61" s="18" t="inlineStr">
        <is>
          <t>121</t>
        </is>
      </c>
      <c r="C61" s="18" t="inlineStr">
        <is>
          <t>C</t>
        </is>
      </c>
      <c r="D61" s="18" t="inlineStr">
        <is>
          <t>03</t>
        </is>
      </c>
      <c r="E61" s="19" t="inlineStr">
        <is>
          <t>Ascend Trailblazers Toastmasters Club</t>
        </is>
      </c>
      <c r="F61" s="18" t="inlineStr">
        <is>
          <t>Suspended</t>
        </is>
      </c>
      <c r="G61" s="20" t="n">
        <v>33</v>
      </c>
      <c r="H61" s="20" t="n">
        <v>0</v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</row>
    <row r="62">
      <c r="A62" s="15" t="n">
        <v>28678910</v>
      </c>
      <c r="B62" s="15" t="inlineStr">
        <is>
          <t>121</t>
        </is>
      </c>
      <c r="C62" s="15" t="inlineStr">
        <is>
          <t>C</t>
        </is>
      </c>
      <c r="D62" s="15" t="inlineStr">
        <is>
          <t>03</t>
        </is>
      </c>
      <c r="E62" s="16" t="inlineStr">
        <is>
          <t>Furlenco Toastmasters Club</t>
        </is>
      </c>
      <c r="F62" s="15" t="inlineStr">
        <is>
          <t>Active</t>
        </is>
      </c>
      <c r="G62" s="17" t="n">
        <v>29</v>
      </c>
      <c r="H62" s="17" t="n">
        <v>14</v>
      </c>
      <c r="I62" s="17" t="n">
        <v>2</v>
      </c>
      <c r="J62" s="17" t="n">
        <v>5</v>
      </c>
      <c r="K62" s="17" t="n">
        <v>11</v>
      </c>
      <c r="L62" s="17" t="n">
        <v>11</v>
      </c>
      <c r="M62" s="17" t="n">
        <v>27</v>
      </c>
    </row>
    <row r="63">
      <c r="A63" s="18" t="n">
        <v>28680500</v>
      </c>
      <c r="B63" s="18" t="inlineStr">
        <is>
          <t>121</t>
        </is>
      </c>
      <c r="C63" s="18" t="inlineStr">
        <is>
          <t>C</t>
        </is>
      </c>
      <c r="D63" s="18" t="inlineStr">
        <is>
          <t>03</t>
        </is>
      </c>
      <c r="E63" s="19" t="inlineStr">
        <is>
          <t>eGov Toastmasters Club</t>
        </is>
      </c>
      <c r="F63" s="18" t="inlineStr">
        <is>
          <t>Active</t>
        </is>
      </c>
      <c r="G63" s="20" t="n">
        <v>20</v>
      </c>
      <c r="H63" s="20" t="n">
        <v>30</v>
      </c>
      <c r="I63" s="20" t="n">
        <v>1</v>
      </c>
      <c r="J63" s="20" t="n">
        <v>0</v>
      </c>
      <c r="K63" s="20" t="n">
        <v>0</v>
      </c>
      <c r="L63" s="20" t="n">
        <v>0</v>
      </c>
      <c r="M63" s="20" t="n">
        <v>30</v>
      </c>
    </row>
    <row r="64">
      <c r="A64" s="15" t="n">
        <v>4410336</v>
      </c>
      <c r="B64" s="15" t="inlineStr">
        <is>
          <t>121</t>
        </is>
      </c>
      <c r="C64" s="15" t="inlineStr">
        <is>
          <t>C</t>
        </is>
      </c>
      <c r="D64" s="15" t="inlineStr">
        <is>
          <t>04</t>
        </is>
      </c>
      <c r="E64" s="16" t="inlineStr">
        <is>
          <t>Dhwani Toastmasters</t>
        </is>
      </c>
      <c r="F64" s="15" t="inlineStr">
        <is>
          <t>Active</t>
        </is>
      </c>
      <c r="G64" s="17" t="n">
        <v>32</v>
      </c>
      <c r="H64" s="17" t="n">
        <v>33</v>
      </c>
      <c r="I64" s="17" t="n">
        <v>9</v>
      </c>
      <c r="J64" s="17" t="n">
        <v>25</v>
      </c>
      <c r="K64" s="17" t="n">
        <v>26</v>
      </c>
      <c r="L64" s="17" t="n">
        <v>23</v>
      </c>
      <c r="M64" s="17" t="n">
        <v>74</v>
      </c>
    </row>
    <row r="65">
      <c r="A65" s="18" t="n">
        <v>7502654</v>
      </c>
      <c r="B65" s="18" t="inlineStr">
        <is>
          <t>121</t>
        </is>
      </c>
      <c r="C65" s="18" t="inlineStr">
        <is>
          <t>C</t>
        </is>
      </c>
      <c r="D65" s="18" t="inlineStr">
        <is>
          <t>04</t>
        </is>
      </c>
      <c r="E65" s="19" t="inlineStr">
        <is>
          <t>Transcend Toastmasters Club</t>
        </is>
      </c>
      <c r="F65" s="18" t="inlineStr">
        <is>
          <t>Active</t>
        </is>
      </c>
      <c r="G65" s="20" t="n">
        <v>20</v>
      </c>
      <c r="H65" s="20" t="n">
        <v>23</v>
      </c>
      <c r="I65" s="20" t="n">
        <v>10</v>
      </c>
      <c r="J65" s="20" t="n">
        <v>11</v>
      </c>
      <c r="K65" s="20" t="n">
        <v>12</v>
      </c>
      <c r="L65" s="20" t="n">
        <v>23</v>
      </c>
      <c r="M65" s="20" t="n">
        <v>46</v>
      </c>
    </row>
    <row r="66">
      <c r="A66" s="15" t="n">
        <v>7856506</v>
      </c>
      <c r="B66" s="15" t="inlineStr">
        <is>
          <t>121</t>
        </is>
      </c>
      <c r="C66" s="15" t="inlineStr">
        <is>
          <t>C</t>
        </is>
      </c>
      <c r="D66" s="15" t="inlineStr">
        <is>
          <t>04</t>
        </is>
      </c>
      <c r="E66" s="16" t="inlineStr">
        <is>
          <t>Transcend Toastmasters Club - 2</t>
        </is>
      </c>
      <c r="F66" s="15" t="inlineStr">
        <is>
          <t>Active</t>
        </is>
      </c>
      <c r="G66" s="17" t="n">
        <v>20</v>
      </c>
      <c r="H66" s="17" t="n">
        <v>23</v>
      </c>
      <c r="I66" s="17" t="n">
        <v>9</v>
      </c>
      <c r="J66" s="17" t="n">
        <v>13</v>
      </c>
      <c r="K66" s="17" t="n">
        <v>10</v>
      </c>
      <c r="L66" s="17" t="n">
        <v>23</v>
      </c>
      <c r="M66" s="17" t="n">
        <v>46</v>
      </c>
    </row>
    <row r="67">
      <c r="A67" s="18" t="n">
        <v>7962666</v>
      </c>
      <c r="B67" s="18" t="inlineStr">
        <is>
          <t>121</t>
        </is>
      </c>
      <c r="C67" s="18" t="inlineStr">
        <is>
          <t>C</t>
        </is>
      </c>
      <c r="D67" s="18" t="inlineStr">
        <is>
          <t>04</t>
        </is>
      </c>
      <c r="E67" s="19" t="inlineStr">
        <is>
          <t>Transcend Toastmasters Club 3</t>
        </is>
      </c>
      <c r="F67" s="18" t="inlineStr">
        <is>
          <t>Active</t>
        </is>
      </c>
      <c r="G67" s="20" t="n">
        <v>20</v>
      </c>
      <c r="H67" s="20" t="n">
        <v>21</v>
      </c>
      <c r="I67" s="20" t="n">
        <v>10</v>
      </c>
      <c r="J67" s="20" t="n">
        <v>9</v>
      </c>
      <c r="K67" s="20" t="n">
        <v>14</v>
      </c>
      <c r="L67" s="20" t="n">
        <v>21</v>
      </c>
      <c r="M67" s="20" t="n">
        <v>44</v>
      </c>
    </row>
    <row r="68">
      <c r="A68" s="15" t="n">
        <v>3984104</v>
      </c>
      <c r="B68" s="15" t="inlineStr">
        <is>
          <t>121</t>
        </is>
      </c>
      <c r="C68" s="15" t="inlineStr">
        <is>
          <t>D</t>
        </is>
      </c>
      <c r="D68" s="15" t="inlineStr">
        <is>
          <t>01</t>
        </is>
      </c>
      <c r="E68" s="16" t="inlineStr">
        <is>
          <t>Calicut Toastmasters</t>
        </is>
      </c>
      <c r="F68" s="15" t="inlineStr">
        <is>
          <t>Active</t>
        </is>
      </c>
      <c r="G68" s="17" t="n">
        <v>22</v>
      </c>
      <c r="H68" s="17" t="n">
        <v>25</v>
      </c>
      <c r="I68" s="17" t="n">
        <v>10</v>
      </c>
      <c r="J68" s="17" t="n">
        <v>18</v>
      </c>
      <c r="K68" s="17" t="n">
        <v>19</v>
      </c>
      <c r="L68" s="17" t="n">
        <v>19</v>
      </c>
      <c r="M68" s="17" t="n">
        <v>56</v>
      </c>
    </row>
    <row r="69">
      <c r="A69" s="18" t="n">
        <v>6750919</v>
      </c>
      <c r="B69" s="18" t="inlineStr">
        <is>
          <t>121</t>
        </is>
      </c>
      <c r="C69" s="18" t="inlineStr">
        <is>
          <t>D</t>
        </is>
      </c>
      <c r="D69" s="18" t="inlineStr">
        <is>
          <t>01</t>
        </is>
      </c>
      <c r="E69" s="19" t="inlineStr">
        <is>
          <t>Kannur Toastmasters Club</t>
        </is>
      </c>
      <c r="F69" s="18" t="inlineStr">
        <is>
          <t>Active</t>
        </is>
      </c>
      <c r="G69" s="20" t="n">
        <v>10</v>
      </c>
      <c r="H69" s="20" t="n">
        <v>10</v>
      </c>
      <c r="I69" s="20" t="n">
        <v>8</v>
      </c>
      <c r="J69" s="20" t="n">
        <v>5</v>
      </c>
      <c r="K69" s="20" t="n">
        <v>9</v>
      </c>
      <c r="L69" s="20" t="n">
        <v>7</v>
      </c>
      <c r="M69" s="20" t="n">
        <v>21</v>
      </c>
    </row>
    <row r="70">
      <c r="A70" s="15" t="n">
        <v>28675444</v>
      </c>
      <c r="B70" s="15" t="inlineStr">
        <is>
          <t>121</t>
        </is>
      </c>
      <c r="C70" s="15" t="inlineStr">
        <is>
          <t>D</t>
        </is>
      </c>
      <c r="D70" s="15" t="inlineStr">
        <is>
          <t>01</t>
        </is>
      </c>
      <c r="E70" s="16" t="inlineStr">
        <is>
          <t>Advanced Debate Club</t>
        </is>
      </c>
      <c r="F70" s="15" t="inlineStr">
        <is>
          <t>Active</t>
        </is>
      </c>
      <c r="G70" s="17" t="n">
        <v>11</v>
      </c>
      <c r="H70" s="17" t="n">
        <v>10</v>
      </c>
      <c r="I70" s="17" t="n">
        <v>2</v>
      </c>
      <c r="J70" s="17" t="n">
        <v>2</v>
      </c>
      <c r="K70" s="17" t="n">
        <v>8</v>
      </c>
      <c r="L70" s="17" t="n">
        <v>10</v>
      </c>
      <c r="M70" s="17" t="n">
        <v>20</v>
      </c>
    </row>
    <row r="71">
      <c r="A71" s="18" t="n">
        <v>28676179</v>
      </c>
      <c r="B71" s="18" t="inlineStr">
        <is>
          <t>121</t>
        </is>
      </c>
      <c r="C71" s="18" t="inlineStr">
        <is>
          <t>D</t>
        </is>
      </c>
      <c r="D71" s="18" t="inlineStr">
        <is>
          <t>01</t>
        </is>
      </c>
      <c r="E71" s="19" t="inlineStr">
        <is>
          <t>Malabar Toastmasters Club</t>
        </is>
      </c>
      <c r="F71" s="18" t="inlineStr">
        <is>
          <t>Active</t>
        </is>
      </c>
      <c r="G71" s="20" t="n">
        <v>23</v>
      </c>
      <c r="H71" s="20" t="n">
        <v>25</v>
      </c>
      <c r="I71" s="20" t="n">
        <v>10</v>
      </c>
      <c r="J71" s="20" t="n">
        <v>17</v>
      </c>
      <c r="K71" s="20" t="n">
        <v>18</v>
      </c>
      <c r="L71" s="20" t="n">
        <v>15</v>
      </c>
      <c r="M71" s="20" t="n">
        <v>51</v>
      </c>
    </row>
    <row r="72">
      <c r="A72" s="15" t="n">
        <v>1872178</v>
      </c>
      <c r="B72" s="15" t="inlineStr">
        <is>
          <t>121</t>
        </is>
      </c>
      <c r="C72" s="15" t="inlineStr">
        <is>
          <t>D</t>
        </is>
      </c>
      <c r="D72" s="15" t="inlineStr">
        <is>
          <t>02</t>
        </is>
      </c>
      <c r="E72" s="16" t="inlineStr">
        <is>
          <t>Toastmasters Club Of Thrissur</t>
        </is>
      </c>
      <c r="F72" s="15" t="inlineStr">
        <is>
          <t>Active</t>
        </is>
      </c>
      <c r="G72" s="17" t="n">
        <v>22</v>
      </c>
      <c r="H72" s="17" t="n">
        <v>25</v>
      </c>
      <c r="I72" s="17" t="n">
        <v>10</v>
      </c>
      <c r="J72" s="17" t="n">
        <v>17</v>
      </c>
      <c r="K72" s="17" t="n">
        <v>20</v>
      </c>
      <c r="L72" s="17" t="n">
        <v>17</v>
      </c>
      <c r="M72" s="17" t="n">
        <v>54</v>
      </c>
    </row>
    <row r="73">
      <c r="A73" s="18" t="n">
        <v>5915386</v>
      </c>
      <c r="B73" s="18" t="inlineStr">
        <is>
          <t>121</t>
        </is>
      </c>
      <c r="C73" s="18" t="inlineStr">
        <is>
          <t>D</t>
        </is>
      </c>
      <c r="D73" s="18" t="inlineStr">
        <is>
          <t>02</t>
        </is>
      </c>
      <c r="E73" s="19" t="inlineStr">
        <is>
          <t>Enterprising Toastmasters of Palakkad</t>
        </is>
      </c>
      <c r="F73" s="18" t="inlineStr">
        <is>
          <t>Active</t>
        </is>
      </c>
      <c r="G73" s="20" t="n">
        <v>27</v>
      </c>
      <c r="H73" s="20" t="n">
        <v>27</v>
      </c>
      <c r="I73" s="20" t="n">
        <v>10</v>
      </c>
      <c r="J73" s="20" t="n">
        <v>14</v>
      </c>
      <c r="K73" s="20" t="n">
        <v>23</v>
      </c>
      <c r="L73" s="20" t="n">
        <v>19</v>
      </c>
      <c r="M73" s="20" t="n">
        <v>56</v>
      </c>
    </row>
    <row r="74">
      <c r="A74" s="15" t="n">
        <v>7173481</v>
      </c>
      <c r="B74" s="15" t="inlineStr">
        <is>
          <t>121</t>
        </is>
      </c>
      <c r="C74" s="15" t="inlineStr">
        <is>
          <t>D</t>
        </is>
      </c>
      <c r="D74" s="15" t="inlineStr">
        <is>
          <t>02</t>
        </is>
      </c>
      <c r="E74" s="16" t="inlineStr">
        <is>
          <t>Perinthalmanna Toastmasters Club</t>
        </is>
      </c>
      <c r="F74" s="15" t="inlineStr">
        <is>
          <t>Ineligible</t>
        </is>
      </c>
      <c r="G74" s="17" t="n">
        <v>12</v>
      </c>
      <c r="H74" s="17" t="n">
        <v>0</v>
      </c>
      <c r="I74" s="17" t="n">
        <v>1</v>
      </c>
      <c r="J74" s="17" t="n">
        <v>0</v>
      </c>
      <c r="K74" s="17" t="n">
        <v>12</v>
      </c>
      <c r="L74" s="17" t="n">
        <v>0</v>
      </c>
      <c r="M74" s="17" t="n">
        <v>12</v>
      </c>
    </row>
    <row r="75">
      <c r="A75" s="18" t="n">
        <v>28676579</v>
      </c>
      <c r="B75" s="18" t="inlineStr">
        <is>
          <t>121</t>
        </is>
      </c>
      <c r="C75" s="18" t="inlineStr">
        <is>
          <t>D</t>
        </is>
      </c>
      <c r="D75" s="18" t="inlineStr">
        <is>
          <t>02</t>
        </is>
      </c>
      <c r="E75" s="19" t="inlineStr">
        <is>
          <t>Kasaragod Toastmasters Club</t>
        </is>
      </c>
      <c r="F75" s="18" t="inlineStr">
        <is>
          <t>Active</t>
        </is>
      </c>
      <c r="G75" s="20" t="n">
        <v>11</v>
      </c>
      <c r="H75" s="20" t="n">
        <v>8</v>
      </c>
      <c r="I75" s="20" t="n">
        <v>2</v>
      </c>
      <c r="J75" s="20" t="n">
        <v>10</v>
      </c>
      <c r="K75" s="20" t="n">
        <v>4</v>
      </c>
      <c r="L75" s="20" t="n">
        <v>3</v>
      </c>
      <c r="M75" s="20" t="n">
        <v>17</v>
      </c>
    </row>
    <row r="76">
      <c r="A76" s="15" t="n">
        <v>28678457</v>
      </c>
      <c r="B76" s="15" t="inlineStr">
        <is>
          <t>121</t>
        </is>
      </c>
      <c r="C76" s="15" t="inlineStr">
        <is>
          <t>D</t>
        </is>
      </c>
      <c r="D76" s="15" t="inlineStr">
        <is>
          <t>02</t>
        </is>
      </c>
      <c r="E76" s="16" t="inlineStr">
        <is>
          <t>Ayur Path Toastmasters Club</t>
        </is>
      </c>
      <c r="F76" s="15" t="inlineStr">
        <is>
          <t>Suspended</t>
        </is>
      </c>
      <c r="G76" s="17" t="n">
        <v>23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</row>
    <row r="77">
      <c r="A77" s="18" t="n">
        <v>4327554</v>
      </c>
      <c r="B77" s="18" t="inlineStr">
        <is>
          <t>121</t>
        </is>
      </c>
      <c r="C77" s="18" t="inlineStr">
        <is>
          <t>D</t>
        </is>
      </c>
      <c r="D77" s="18" t="inlineStr">
        <is>
          <t>03</t>
        </is>
      </c>
      <c r="E77" s="19" t="inlineStr">
        <is>
          <t>Orators Toastmasters</t>
        </is>
      </c>
      <c r="F77" s="18" t="inlineStr">
        <is>
          <t>Active</t>
        </is>
      </c>
      <c r="G77" s="20" t="n">
        <v>9</v>
      </c>
      <c r="H77" s="20" t="n">
        <v>11</v>
      </c>
      <c r="I77" s="20" t="n">
        <v>8</v>
      </c>
      <c r="J77" s="20" t="n">
        <v>6</v>
      </c>
      <c r="K77" s="20" t="n">
        <v>8</v>
      </c>
      <c r="L77" s="20" t="n">
        <v>10</v>
      </c>
      <c r="M77" s="20" t="n">
        <v>24</v>
      </c>
    </row>
    <row r="78">
      <c r="A78" s="15" t="n">
        <v>7814695</v>
      </c>
      <c r="B78" s="15" t="inlineStr">
        <is>
          <t>121</t>
        </is>
      </c>
      <c r="C78" s="15" t="inlineStr">
        <is>
          <t>D</t>
        </is>
      </c>
      <c r="D78" s="15" t="inlineStr">
        <is>
          <t>03</t>
        </is>
      </c>
      <c r="E78" s="16" t="inlineStr">
        <is>
          <t>Thrissur Malayalam Toastmasters</t>
        </is>
      </c>
      <c r="F78" s="15" t="inlineStr">
        <is>
          <t>Active</t>
        </is>
      </c>
      <c r="G78" s="17" t="n">
        <v>15</v>
      </c>
      <c r="H78" s="17" t="n">
        <v>9</v>
      </c>
      <c r="I78" s="17" t="n">
        <v>4</v>
      </c>
      <c r="J78" s="17" t="n">
        <v>2</v>
      </c>
      <c r="K78" s="17" t="n">
        <v>9</v>
      </c>
      <c r="L78" s="17" t="n">
        <v>8</v>
      </c>
      <c r="M78" s="17" t="n">
        <v>19</v>
      </c>
    </row>
    <row r="79">
      <c r="A79" s="18" t="n">
        <v>7902228</v>
      </c>
      <c r="B79" s="18" t="inlineStr">
        <is>
          <t>121</t>
        </is>
      </c>
      <c r="C79" s="18" t="inlineStr">
        <is>
          <t>D</t>
        </is>
      </c>
      <c r="D79" s="18" t="inlineStr">
        <is>
          <t>03</t>
        </is>
      </c>
      <c r="E79" s="19" t="inlineStr">
        <is>
          <t>ME Kerala Toastmasters Club</t>
        </is>
      </c>
      <c r="F79" s="18" t="inlineStr">
        <is>
          <t>Active</t>
        </is>
      </c>
      <c r="G79" s="20" t="n">
        <v>20</v>
      </c>
      <c r="H79" s="20" t="n">
        <v>11</v>
      </c>
      <c r="I79" s="20" t="n">
        <v>5</v>
      </c>
      <c r="J79" s="20" t="n">
        <v>1</v>
      </c>
      <c r="K79" s="20" t="n">
        <v>15</v>
      </c>
      <c r="L79" s="20" t="n">
        <v>11</v>
      </c>
      <c r="M79" s="20" t="n">
        <v>27</v>
      </c>
    </row>
    <row r="80">
      <c r="A80" s="15" t="n">
        <v>28675709</v>
      </c>
      <c r="B80" s="15" t="inlineStr">
        <is>
          <t>121</t>
        </is>
      </c>
      <c r="C80" s="15" t="inlineStr">
        <is>
          <t>D</t>
        </is>
      </c>
      <c r="D80" s="15" t="inlineStr">
        <is>
          <t>03</t>
        </is>
      </c>
      <c r="E80" s="16" t="inlineStr">
        <is>
          <t>Sahrdaya Toastmasters Club</t>
        </is>
      </c>
      <c r="F80" s="15" t="inlineStr">
        <is>
          <t>Ineligible</t>
        </is>
      </c>
      <c r="G80" s="17" t="n">
        <v>20</v>
      </c>
      <c r="H80" s="17" t="n">
        <v>0</v>
      </c>
      <c r="I80" s="17" t="n">
        <v>5</v>
      </c>
      <c r="J80" s="17" t="n">
        <v>3</v>
      </c>
      <c r="K80" s="17" t="n">
        <v>7</v>
      </c>
      <c r="L80" s="17" t="n">
        <v>0</v>
      </c>
      <c r="M80" s="17" t="n">
        <v>10</v>
      </c>
    </row>
    <row r="81">
      <c r="A81" s="18" t="n">
        <v>1207477</v>
      </c>
      <c r="B81" s="18" t="inlineStr">
        <is>
          <t>121</t>
        </is>
      </c>
      <c r="C81" s="18" t="inlineStr">
        <is>
          <t>D</t>
        </is>
      </c>
      <c r="D81" s="18" t="inlineStr">
        <is>
          <t>04</t>
        </is>
      </c>
      <c r="E81" s="19" t="inlineStr">
        <is>
          <t>EKM Toastmasters</t>
        </is>
      </c>
      <c r="F81" s="18" t="inlineStr">
        <is>
          <t>Active</t>
        </is>
      </c>
      <c r="G81" s="20" t="n">
        <v>25</v>
      </c>
      <c r="H81" s="20" t="n">
        <v>21</v>
      </c>
      <c r="I81" s="20" t="n">
        <v>9</v>
      </c>
      <c r="J81" s="20" t="n">
        <v>10</v>
      </c>
      <c r="K81" s="20" t="n">
        <v>19</v>
      </c>
      <c r="L81" s="20" t="n">
        <v>17</v>
      </c>
      <c r="M81" s="20" t="n">
        <v>46</v>
      </c>
    </row>
    <row r="82">
      <c r="A82" s="15" t="n">
        <v>7397586</v>
      </c>
      <c r="B82" s="15" t="inlineStr">
        <is>
          <t>121</t>
        </is>
      </c>
      <c r="C82" s="15" t="inlineStr">
        <is>
          <t>D</t>
        </is>
      </c>
      <c r="D82" s="15" t="inlineStr">
        <is>
          <t>04</t>
        </is>
      </c>
      <c r="E82" s="16" t="inlineStr">
        <is>
          <t>Black Gold Toastmasters</t>
        </is>
      </c>
      <c r="F82" s="15" t="inlineStr">
        <is>
          <t>Active</t>
        </is>
      </c>
      <c r="G82" s="17" t="n">
        <v>20</v>
      </c>
      <c r="H82" s="17" t="n">
        <v>20</v>
      </c>
      <c r="I82" s="17" t="n">
        <v>2</v>
      </c>
      <c r="J82" s="17" t="n">
        <v>6</v>
      </c>
      <c r="K82" s="17" t="n">
        <v>16</v>
      </c>
      <c r="L82" s="17" t="n">
        <v>18</v>
      </c>
      <c r="M82" s="17" t="n">
        <v>40</v>
      </c>
    </row>
    <row r="83">
      <c r="A83" s="18" t="n">
        <v>7854448</v>
      </c>
      <c r="B83" s="18" t="inlineStr">
        <is>
          <t>121</t>
        </is>
      </c>
      <c r="C83" s="18" t="inlineStr">
        <is>
          <t>D</t>
        </is>
      </c>
      <c r="D83" s="18" t="inlineStr">
        <is>
          <t>04</t>
        </is>
      </c>
      <c r="E83" s="19" t="inlineStr">
        <is>
          <t>Heritage Toastmasters</t>
        </is>
      </c>
      <c r="F83" s="18" t="inlineStr">
        <is>
          <t>Active</t>
        </is>
      </c>
      <c r="G83" s="20" t="n">
        <v>11</v>
      </c>
      <c r="H83" s="20" t="n">
        <v>8</v>
      </c>
      <c r="I83" s="20" t="n">
        <v>1</v>
      </c>
      <c r="J83" s="20" t="n">
        <v>2</v>
      </c>
      <c r="K83" s="20" t="n">
        <v>7</v>
      </c>
      <c r="L83" s="20" t="n">
        <v>7</v>
      </c>
      <c r="M83" s="20" t="n">
        <v>16</v>
      </c>
    </row>
    <row r="84">
      <c r="A84" s="15" t="n">
        <v>7877475</v>
      </c>
      <c r="B84" s="15" t="inlineStr">
        <is>
          <t>121</t>
        </is>
      </c>
      <c r="C84" s="15" t="inlineStr">
        <is>
          <t>D</t>
        </is>
      </c>
      <c r="D84" s="15" t="inlineStr">
        <is>
          <t>04</t>
        </is>
      </c>
      <c r="E84" s="16" t="inlineStr">
        <is>
          <t>Cask Orators</t>
        </is>
      </c>
      <c r="F84" s="15" t="inlineStr">
        <is>
          <t>Active</t>
        </is>
      </c>
      <c r="G84" s="17" t="n">
        <v>19</v>
      </c>
      <c r="H84" s="17" t="n">
        <v>25</v>
      </c>
      <c r="I84" s="17" t="n">
        <v>10</v>
      </c>
      <c r="J84" s="17" t="n">
        <v>22</v>
      </c>
      <c r="K84" s="17" t="n">
        <v>21</v>
      </c>
      <c r="L84" s="17" t="n">
        <v>24</v>
      </c>
      <c r="M84" s="17" t="n">
        <v>67</v>
      </c>
    </row>
    <row r="85">
      <c r="A85" s="18" t="n">
        <v>7527118</v>
      </c>
      <c r="B85" s="18" t="inlineStr">
        <is>
          <t>121</t>
        </is>
      </c>
      <c r="C85" s="18" t="inlineStr">
        <is>
          <t>D</t>
        </is>
      </c>
      <c r="D85" s="18" t="inlineStr">
        <is>
          <t>05</t>
        </is>
      </c>
      <c r="E85" s="19" t="inlineStr">
        <is>
          <t>Lead Orators Toastmasters</t>
        </is>
      </c>
      <c r="F85" s="18" t="inlineStr">
        <is>
          <t>Suspended</t>
        </is>
      </c>
      <c r="G85" s="20" t="n">
        <v>8</v>
      </c>
      <c r="H85" s="20" t="n">
        <v>0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</row>
    <row r="86">
      <c r="A86" s="15" t="n">
        <v>7657832</v>
      </c>
      <c r="B86" s="15" t="inlineStr">
        <is>
          <t>121</t>
        </is>
      </c>
      <c r="C86" s="15" t="inlineStr">
        <is>
          <t>D</t>
        </is>
      </c>
      <c r="D86" s="15" t="inlineStr">
        <is>
          <t>05</t>
        </is>
      </c>
      <c r="E86" s="16" t="inlineStr">
        <is>
          <t>Bioingredia Toastmasters Club</t>
        </is>
      </c>
      <c r="F86" s="15" t="inlineStr">
        <is>
          <t>Active</t>
        </is>
      </c>
      <c r="G86" s="17" t="n">
        <v>8</v>
      </c>
      <c r="H86" s="17" t="n">
        <v>11</v>
      </c>
      <c r="I86" s="17" t="n">
        <v>3</v>
      </c>
      <c r="J86" s="17" t="n">
        <v>11</v>
      </c>
      <c r="K86" s="17" t="n">
        <v>3</v>
      </c>
      <c r="L86" s="17" t="n">
        <v>11</v>
      </c>
      <c r="M86" s="17" t="n">
        <v>25</v>
      </c>
    </row>
    <row r="87">
      <c r="A87" s="18" t="n">
        <v>7847626</v>
      </c>
      <c r="B87" s="18" t="inlineStr">
        <is>
          <t>121</t>
        </is>
      </c>
      <c r="C87" s="18" t="inlineStr">
        <is>
          <t>D</t>
        </is>
      </c>
      <c r="D87" s="18" t="inlineStr">
        <is>
          <t>05</t>
        </is>
      </c>
      <c r="E87" s="19" t="inlineStr">
        <is>
          <t>Lead Champions Toastmasters Club</t>
        </is>
      </c>
      <c r="F87" s="18" t="inlineStr">
        <is>
          <t>Suspended</t>
        </is>
      </c>
      <c r="G87" s="20" t="n">
        <v>11</v>
      </c>
      <c r="H87" s="20" t="n">
        <v>0</v>
      </c>
      <c r="I87" s="20" t="n">
        <v>0</v>
      </c>
      <c r="J87" s="20" t="n">
        <v>0</v>
      </c>
      <c r="K87" s="20" t="n">
        <v>3</v>
      </c>
      <c r="L87" s="20" t="n">
        <v>0</v>
      </c>
      <c r="M87" s="20" t="n">
        <v>3</v>
      </c>
    </row>
    <row r="88">
      <c r="A88" s="15" t="n">
        <v>7847628</v>
      </c>
      <c r="B88" s="15" t="inlineStr">
        <is>
          <t>121</t>
        </is>
      </c>
      <c r="C88" s="15" t="inlineStr">
        <is>
          <t>D</t>
        </is>
      </c>
      <c r="D88" s="15" t="inlineStr">
        <is>
          <t>05</t>
        </is>
      </c>
      <c r="E88" s="16" t="inlineStr">
        <is>
          <t>LEAD THE WORLD TOASTMASTERS CLUB</t>
        </is>
      </c>
      <c r="F88" s="15" t="inlineStr">
        <is>
          <t>Suspended</t>
        </is>
      </c>
      <c r="G88" s="17" t="n">
        <v>8</v>
      </c>
      <c r="H88" s="17" t="n">
        <v>0</v>
      </c>
      <c r="I88" s="17" t="n">
        <v>0</v>
      </c>
      <c r="J88" s="17" t="n">
        <v>0</v>
      </c>
      <c r="K88" s="17" t="n">
        <v>3</v>
      </c>
      <c r="L88" s="17" t="n">
        <v>0</v>
      </c>
      <c r="M88" s="17" t="n">
        <v>3</v>
      </c>
    </row>
    <row r="89">
      <c r="A89" s="18" t="n">
        <v>3859695</v>
      </c>
      <c r="B89" s="18" t="inlineStr">
        <is>
          <t>121</t>
        </is>
      </c>
      <c r="C89" s="18" t="inlineStr">
        <is>
          <t>E</t>
        </is>
      </c>
      <c r="D89" s="18" t="inlineStr">
        <is>
          <t>01</t>
        </is>
      </c>
      <c r="E89" s="19" t="inlineStr">
        <is>
          <t>IBC Titans Toastmasters Club</t>
        </is>
      </c>
      <c r="F89" s="18" t="inlineStr">
        <is>
          <t>Active</t>
        </is>
      </c>
      <c r="G89" s="20" t="n">
        <v>13</v>
      </c>
      <c r="H89" s="20" t="n">
        <v>9</v>
      </c>
      <c r="I89" s="20" t="n">
        <v>4</v>
      </c>
      <c r="J89" s="20" t="n">
        <v>7</v>
      </c>
      <c r="K89" s="20" t="n">
        <v>9</v>
      </c>
      <c r="L89" s="20" t="n">
        <v>5</v>
      </c>
      <c r="M89" s="20" t="n">
        <v>21</v>
      </c>
    </row>
    <row r="90">
      <c r="A90" s="15" t="n">
        <v>4113936</v>
      </c>
      <c r="B90" s="15" t="inlineStr">
        <is>
          <t>121</t>
        </is>
      </c>
      <c r="C90" s="15" t="inlineStr">
        <is>
          <t>E</t>
        </is>
      </c>
      <c r="D90" s="15" t="inlineStr">
        <is>
          <t>01</t>
        </is>
      </c>
      <c r="E90" s="16" t="inlineStr">
        <is>
          <t>Infinera Toastmasters</t>
        </is>
      </c>
      <c r="F90" s="15" t="inlineStr">
        <is>
          <t>Active</t>
        </is>
      </c>
      <c r="G90" s="17" t="n">
        <v>20</v>
      </c>
      <c r="H90" s="17" t="n">
        <v>22</v>
      </c>
      <c r="I90" s="17" t="n">
        <v>8</v>
      </c>
      <c r="J90" s="17" t="n">
        <v>6</v>
      </c>
      <c r="K90" s="17" t="n">
        <v>20</v>
      </c>
      <c r="L90" s="17" t="n">
        <v>22</v>
      </c>
      <c r="M90" s="17" t="n">
        <v>48</v>
      </c>
    </row>
    <row r="91">
      <c r="A91" s="18" t="n">
        <v>28676711</v>
      </c>
      <c r="B91" s="18" t="inlineStr">
        <is>
          <t>121</t>
        </is>
      </c>
      <c r="C91" s="18" t="inlineStr">
        <is>
          <t>E</t>
        </is>
      </c>
      <c r="D91" s="18" t="inlineStr">
        <is>
          <t>01</t>
        </is>
      </c>
      <c r="E91" s="19" t="inlineStr">
        <is>
          <t>Melange Toastmasters Club</t>
        </is>
      </c>
      <c r="F91" s="18" t="inlineStr">
        <is>
          <t>Active</t>
        </is>
      </c>
      <c r="G91" s="20" t="n">
        <v>11</v>
      </c>
      <c r="H91" s="20" t="n">
        <v>8</v>
      </c>
      <c r="I91" s="20" t="n">
        <v>5</v>
      </c>
      <c r="J91" s="20" t="n">
        <v>2</v>
      </c>
      <c r="K91" s="20" t="n">
        <v>11</v>
      </c>
      <c r="L91" s="20" t="n">
        <v>8</v>
      </c>
      <c r="M91" s="20" t="n">
        <v>21</v>
      </c>
    </row>
    <row r="92">
      <c r="A92" s="15" t="n">
        <v>28676900</v>
      </c>
      <c r="B92" s="15" t="inlineStr">
        <is>
          <t>121</t>
        </is>
      </c>
      <c r="C92" s="15" t="inlineStr">
        <is>
          <t>E</t>
        </is>
      </c>
      <c r="D92" s="15" t="inlineStr">
        <is>
          <t>01</t>
        </is>
      </c>
      <c r="E92" s="16" t="inlineStr">
        <is>
          <t>Acuity Toastmasters Open Mic</t>
        </is>
      </c>
      <c r="F92" s="15" t="inlineStr">
        <is>
          <t>Active</t>
        </is>
      </c>
      <c r="G92" s="17" t="n">
        <v>37</v>
      </c>
      <c r="H92" s="17" t="n">
        <v>31</v>
      </c>
      <c r="I92" s="17" t="n">
        <v>10</v>
      </c>
      <c r="J92" s="17" t="n">
        <v>29</v>
      </c>
      <c r="K92" s="17" t="n">
        <v>16</v>
      </c>
      <c r="L92" s="17" t="n">
        <v>19</v>
      </c>
      <c r="M92" s="17" t="n">
        <v>64</v>
      </c>
    </row>
    <row r="93">
      <c r="A93" s="18" t="n">
        <v>5412566</v>
      </c>
      <c r="B93" s="18" t="inlineStr">
        <is>
          <t>121</t>
        </is>
      </c>
      <c r="C93" s="18" t="inlineStr">
        <is>
          <t>E</t>
        </is>
      </c>
      <c r="D93" s="18" t="inlineStr">
        <is>
          <t>02</t>
        </is>
      </c>
      <c r="E93" s="19" t="inlineStr">
        <is>
          <t>RIPPLERS</t>
        </is>
      </c>
      <c r="F93" s="18" t="inlineStr">
        <is>
          <t>Active</t>
        </is>
      </c>
      <c r="G93" s="20" t="n">
        <v>23</v>
      </c>
      <c r="H93" s="20" t="n">
        <v>35</v>
      </c>
      <c r="I93" s="20" t="n">
        <v>10</v>
      </c>
      <c r="J93" s="20" t="n">
        <v>35</v>
      </c>
      <c r="K93" s="20" t="n">
        <v>23</v>
      </c>
      <c r="L93" s="20" t="n">
        <v>21</v>
      </c>
      <c r="M93" s="20" t="n">
        <v>79</v>
      </c>
    </row>
    <row r="94">
      <c r="A94" s="15" t="n">
        <v>6427472</v>
      </c>
      <c r="B94" s="15" t="inlineStr">
        <is>
          <t>121</t>
        </is>
      </c>
      <c r="C94" s="15" t="inlineStr">
        <is>
          <t>E</t>
        </is>
      </c>
      <c r="D94" s="15" t="inlineStr">
        <is>
          <t>02</t>
        </is>
      </c>
      <c r="E94" s="16" t="inlineStr">
        <is>
          <t>Lead India Speakers Club</t>
        </is>
      </c>
      <c r="F94" s="15" t="inlineStr">
        <is>
          <t>Active</t>
        </is>
      </c>
      <c r="G94" s="17" t="n">
        <v>17</v>
      </c>
      <c r="H94" s="17" t="n">
        <v>22</v>
      </c>
      <c r="I94" s="17" t="n">
        <v>10</v>
      </c>
      <c r="J94" s="17" t="n">
        <v>19</v>
      </c>
      <c r="K94" s="17" t="n">
        <v>12</v>
      </c>
      <c r="L94" s="17" t="n">
        <v>13</v>
      </c>
      <c r="M94" s="17" t="n">
        <v>44</v>
      </c>
    </row>
    <row r="95">
      <c r="A95" s="18" t="n">
        <v>7711039</v>
      </c>
      <c r="B95" s="18" t="inlineStr">
        <is>
          <t>121</t>
        </is>
      </c>
      <c r="C95" s="18" t="inlineStr">
        <is>
          <t>E</t>
        </is>
      </c>
      <c r="D95" s="18" t="inlineStr">
        <is>
          <t>02</t>
        </is>
      </c>
      <c r="E95" s="19" t="inlineStr">
        <is>
          <t>Words Worth Toastmasters</t>
        </is>
      </c>
      <c r="F95" s="18" t="inlineStr">
        <is>
          <t>Active</t>
        </is>
      </c>
      <c r="G95" s="20" t="n">
        <v>39</v>
      </c>
      <c r="H95" s="20" t="n">
        <v>35</v>
      </c>
      <c r="I95" s="20" t="n">
        <v>10</v>
      </c>
      <c r="J95" s="20" t="n">
        <v>14</v>
      </c>
      <c r="K95" s="20" t="n">
        <v>31</v>
      </c>
      <c r="L95" s="20" t="n">
        <v>34</v>
      </c>
      <c r="M95" s="20" t="n">
        <v>79</v>
      </c>
    </row>
    <row r="96">
      <c r="A96" s="15" t="n">
        <v>28676701</v>
      </c>
      <c r="B96" s="15" t="inlineStr">
        <is>
          <t>121</t>
        </is>
      </c>
      <c r="C96" s="15" t="inlineStr">
        <is>
          <t>E</t>
        </is>
      </c>
      <c r="D96" s="15" t="inlineStr">
        <is>
          <t>02</t>
        </is>
      </c>
      <c r="E96" s="16" t="inlineStr">
        <is>
          <t>Evolve Toastmasters</t>
        </is>
      </c>
      <c r="F96" s="15" t="inlineStr">
        <is>
          <t>Active</t>
        </is>
      </c>
      <c r="G96" s="17" t="n">
        <v>32</v>
      </c>
      <c r="H96" s="17" t="n">
        <v>33</v>
      </c>
      <c r="I96" s="17" t="n">
        <v>10</v>
      </c>
      <c r="J96" s="17" t="n">
        <v>16</v>
      </c>
      <c r="K96" s="17" t="n">
        <v>24</v>
      </c>
      <c r="L96" s="17" t="n">
        <v>25</v>
      </c>
      <c r="M96" s="17" t="n">
        <v>65</v>
      </c>
    </row>
    <row r="97">
      <c r="A97" s="18" t="n">
        <v>2405453</v>
      </c>
      <c r="B97" s="18" t="inlineStr">
        <is>
          <t>121</t>
        </is>
      </c>
      <c r="C97" s="18" t="inlineStr">
        <is>
          <t>E</t>
        </is>
      </c>
      <c r="D97" s="18" t="inlineStr">
        <is>
          <t>03</t>
        </is>
      </c>
      <c r="E97" s="19" t="inlineStr">
        <is>
          <t>vTalk Toastmasters Club</t>
        </is>
      </c>
      <c r="F97" s="18" t="inlineStr">
        <is>
          <t>Active</t>
        </is>
      </c>
      <c r="G97" s="20" t="n">
        <v>25</v>
      </c>
      <c r="H97" s="20" t="n">
        <v>8</v>
      </c>
      <c r="I97" s="20" t="n">
        <v>5</v>
      </c>
      <c r="J97" s="20" t="n">
        <v>4</v>
      </c>
      <c r="K97" s="20" t="n">
        <v>9</v>
      </c>
      <c r="L97" s="20" t="n">
        <v>8</v>
      </c>
      <c r="M97" s="20" t="n">
        <v>21</v>
      </c>
    </row>
    <row r="98">
      <c r="A98" s="15" t="n">
        <v>6831114</v>
      </c>
      <c r="B98" s="15" t="inlineStr">
        <is>
          <t>121</t>
        </is>
      </c>
      <c r="C98" s="15" t="inlineStr">
        <is>
          <t>E</t>
        </is>
      </c>
      <c r="D98" s="15" t="inlineStr">
        <is>
          <t>03</t>
        </is>
      </c>
      <c r="E98" s="16" t="inlineStr">
        <is>
          <t>Leaders Speak</t>
        </is>
      </c>
      <c r="F98" s="15" t="inlineStr">
        <is>
          <t>Active</t>
        </is>
      </c>
      <c r="G98" s="17" t="n">
        <v>29</v>
      </c>
      <c r="H98" s="17" t="n">
        <v>22</v>
      </c>
      <c r="I98" s="17" t="n">
        <v>9</v>
      </c>
      <c r="J98" s="17" t="n">
        <v>16</v>
      </c>
      <c r="K98" s="17" t="n">
        <v>18</v>
      </c>
      <c r="L98" s="17" t="n">
        <v>17</v>
      </c>
      <c r="M98" s="17" t="n">
        <v>51</v>
      </c>
    </row>
    <row r="99">
      <c r="A99" s="18" t="n">
        <v>7460211</v>
      </c>
      <c r="B99" s="18" t="inlineStr">
        <is>
          <t>121</t>
        </is>
      </c>
      <c r="C99" s="18" t="inlineStr">
        <is>
          <t>E</t>
        </is>
      </c>
      <c r="D99" s="18" t="inlineStr">
        <is>
          <t>03</t>
        </is>
      </c>
      <c r="E99" s="19" t="inlineStr">
        <is>
          <t>WeSpeak Toastmasters Club</t>
        </is>
      </c>
      <c r="F99" s="18" t="inlineStr">
        <is>
          <t>Active</t>
        </is>
      </c>
      <c r="G99" s="20" t="n">
        <v>33</v>
      </c>
      <c r="H99" s="20" t="n">
        <v>25</v>
      </c>
      <c r="I99" s="20" t="n">
        <v>10</v>
      </c>
      <c r="J99" s="20" t="n">
        <v>19</v>
      </c>
      <c r="K99" s="20" t="n">
        <v>32</v>
      </c>
      <c r="L99" s="20" t="n">
        <v>24</v>
      </c>
      <c r="M99" s="20" t="n">
        <v>75</v>
      </c>
    </row>
    <row r="100">
      <c r="A100" s="15" t="n">
        <v>28678473</v>
      </c>
      <c r="B100" s="15" t="inlineStr">
        <is>
          <t>121</t>
        </is>
      </c>
      <c r="C100" s="15" t="inlineStr">
        <is>
          <t>E</t>
        </is>
      </c>
      <c r="D100" s="15" t="inlineStr">
        <is>
          <t>03</t>
        </is>
      </c>
      <c r="E100" s="16" t="inlineStr">
        <is>
          <t>Flexera Toastmasters</t>
        </is>
      </c>
      <c r="F100" s="15" t="inlineStr">
        <is>
          <t>Active</t>
        </is>
      </c>
      <c r="G100" s="17" t="n">
        <v>38</v>
      </c>
      <c r="H100" s="17" t="n">
        <v>38</v>
      </c>
      <c r="I100" s="17" t="n">
        <v>5</v>
      </c>
      <c r="J100" s="17" t="n">
        <v>42</v>
      </c>
      <c r="K100" s="17" t="n">
        <v>19</v>
      </c>
      <c r="L100" s="17" t="n">
        <v>15</v>
      </c>
      <c r="M100" s="17" t="n">
        <v>76</v>
      </c>
    </row>
    <row r="101">
      <c r="A101" s="18" t="n">
        <v>632425</v>
      </c>
      <c r="B101" s="18" t="inlineStr">
        <is>
          <t>121</t>
        </is>
      </c>
      <c r="C101" s="18" t="inlineStr">
        <is>
          <t>E</t>
        </is>
      </c>
      <c r="D101" s="18" t="inlineStr">
        <is>
          <t>04</t>
        </is>
      </c>
      <c r="E101" s="19" t="inlineStr">
        <is>
          <t>CMS Speakers Forum Toastmasters Club</t>
        </is>
      </c>
      <c r="F101" s="18" t="inlineStr">
        <is>
          <t>Active</t>
        </is>
      </c>
      <c r="G101" s="20" t="n">
        <v>20</v>
      </c>
      <c r="H101" s="20" t="n">
        <v>8</v>
      </c>
      <c r="I101" s="20" t="n">
        <v>6</v>
      </c>
      <c r="J101" s="20" t="n">
        <v>3</v>
      </c>
      <c r="K101" s="20" t="n">
        <v>16</v>
      </c>
      <c r="L101" s="20" t="n">
        <v>8</v>
      </c>
      <c r="M101" s="20" t="n">
        <v>27</v>
      </c>
    </row>
    <row r="102">
      <c r="A102" s="15" t="n">
        <v>725960</v>
      </c>
      <c r="B102" s="15" t="inlineStr">
        <is>
          <t>121</t>
        </is>
      </c>
      <c r="C102" s="15" t="inlineStr">
        <is>
          <t>E</t>
        </is>
      </c>
      <c r="D102" s="15" t="inlineStr">
        <is>
          <t>04</t>
        </is>
      </c>
      <c r="E102" s="16" t="inlineStr">
        <is>
          <t>Jain Toastmasters Club</t>
        </is>
      </c>
      <c r="F102" s="15" t="inlineStr">
        <is>
          <t>Active</t>
        </is>
      </c>
      <c r="G102" s="17" t="n">
        <v>20</v>
      </c>
      <c r="H102" s="17" t="n">
        <v>8</v>
      </c>
      <c r="I102" s="17" t="n">
        <v>7</v>
      </c>
      <c r="J102" s="17" t="n">
        <v>4</v>
      </c>
      <c r="K102" s="17" t="n">
        <v>16</v>
      </c>
      <c r="L102" s="17" t="n">
        <v>8</v>
      </c>
      <c r="M102" s="17" t="n">
        <v>28</v>
      </c>
    </row>
    <row r="103">
      <c r="A103" s="18" t="n">
        <v>726395</v>
      </c>
      <c r="B103" s="18" t="inlineStr">
        <is>
          <t>121</t>
        </is>
      </c>
      <c r="C103" s="18" t="inlineStr">
        <is>
          <t>E</t>
        </is>
      </c>
      <c r="D103" s="18" t="inlineStr">
        <is>
          <t>04</t>
        </is>
      </c>
      <c r="E103" s="19" t="inlineStr">
        <is>
          <t>SBMJC Toastmasters Club</t>
        </is>
      </c>
      <c r="F103" s="18" t="inlineStr">
        <is>
          <t>Active</t>
        </is>
      </c>
      <c r="G103" s="20" t="n">
        <v>20</v>
      </c>
      <c r="H103" s="20" t="n">
        <v>8</v>
      </c>
      <c r="I103" s="20" t="n">
        <v>7</v>
      </c>
      <c r="J103" s="20" t="n">
        <v>5</v>
      </c>
      <c r="K103" s="20" t="n">
        <v>15</v>
      </c>
      <c r="L103" s="20" t="n">
        <v>8</v>
      </c>
      <c r="M103" s="20" t="n">
        <v>28</v>
      </c>
    </row>
    <row r="104">
      <c r="A104" s="15" t="n">
        <v>726698</v>
      </c>
      <c r="B104" s="15" t="inlineStr">
        <is>
          <t>121</t>
        </is>
      </c>
      <c r="C104" s="15" t="inlineStr">
        <is>
          <t>E</t>
        </is>
      </c>
      <c r="D104" s="15" t="inlineStr">
        <is>
          <t>04</t>
        </is>
      </c>
      <c r="E104" s="16" t="inlineStr">
        <is>
          <t>Mahaveer Toastmasters Club</t>
        </is>
      </c>
      <c r="F104" s="15" t="inlineStr">
        <is>
          <t>Active</t>
        </is>
      </c>
      <c r="G104" s="17" t="n">
        <v>20</v>
      </c>
      <c r="H104" s="17" t="n">
        <v>8</v>
      </c>
      <c r="I104" s="17" t="n">
        <v>7</v>
      </c>
      <c r="J104" s="17" t="n">
        <v>4</v>
      </c>
      <c r="K104" s="17" t="n">
        <v>15</v>
      </c>
      <c r="L104" s="17" t="n">
        <v>8</v>
      </c>
      <c r="M104" s="17" t="n">
        <v>27</v>
      </c>
    </row>
    <row r="105">
      <c r="A105" s="18" t="n">
        <v>3014292</v>
      </c>
      <c r="B105" s="18" t="inlineStr">
        <is>
          <t>121</t>
        </is>
      </c>
      <c r="C105" s="18" t="inlineStr">
        <is>
          <t>F</t>
        </is>
      </c>
      <c r="D105" s="18" t="inlineStr">
        <is>
          <t>01</t>
        </is>
      </c>
      <c r="E105" s="19" t="inlineStr">
        <is>
          <t>TAPMI Toastmasters</t>
        </is>
      </c>
      <c r="F105" s="18" t="inlineStr">
        <is>
          <t>Active</t>
        </is>
      </c>
      <c r="G105" s="20" t="n">
        <v>15</v>
      </c>
      <c r="H105" s="20" t="n">
        <v>8</v>
      </c>
      <c r="I105" s="20" t="n">
        <v>10</v>
      </c>
      <c r="J105" s="20" t="n">
        <v>10</v>
      </c>
      <c r="K105" s="20" t="n">
        <v>10</v>
      </c>
      <c r="L105" s="20" t="n">
        <v>8</v>
      </c>
      <c r="M105" s="20" t="n">
        <v>28</v>
      </c>
    </row>
    <row r="106">
      <c r="A106" s="15" t="n">
        <v>3900632</v>
      </c>
      <c r="B106" s="15" t="inlineStr">
        <is>
          <t>121</t>
        </is>
      </c>
      <c r="C106" s="15" t="inlineStr">
        <is>
          <t>F</t>
        </is>
      </c>
      <c r="D106" s="15" t="inlineStr">
        <is>
          <t>01</t>
        </is>
      </c>
      <c r="E106" s="16" t="inlineStr">
        <is>
          <t>Manipal-Udupi Toastmasters Club</t>
        </is>
      </c>
      <c r="F106" s="15" t="inlineStr">
        <is>
          <t>Active</t>
        </is>
      </c>
      <c r="G106" s="17" t="n">
        <v>10</v>
      </c>
      <c r="H106" s="17" t="n">
        <v>20</v>
      </c>
      <c r="I106" s="17" t="n">
        <v>7</v>
      </c>
      <c r="J106" s="17" t="n">
        <v>13</v>
      </c>
      <c r="K106" s="17" t="n">
        <v>9</v>
      </c>
      <c r="L106" s="17" t="n">
        <v>10</v>
      </c>
      <c r="M106" s="17" t="n">
        <v>32</v>
      </c>
    </row>
    <row r="107">
      <c r="A107" s="18" t="n">
        <v>6843977</v>
      </c>
      <c r="B107" s="18" t="inlineStr">
        <is>
          <t>121</t>
        </is>
      </c>
      <c r="C107" s="18" t="inlineStr">
        <is>
          <t>F</t>
        </is>
      </c>
      <c r="D107" s="18" t="inlineStr">
        <is>
          <t>01</t>
        </is>
      </c>
      <c r="E107" s="19" t="inlineStr">
        <is>
          <t>MAHE Toastmasters Club</t>
        </is>
      </c>
      <c r="F107" s="18" t="inlineStr">
        <is>
          <t>Active</t>
        </is>
      </c>
      <c r="G107" s="20" t="n">
        <v>25</v>
      </c>
      <c r="H107" s="20" t="n">
        <v>30</v>
      </c>
      <c r="I107" s="20" t="n">
        <v>10</v>
      </c>
      <c r="J107" s="20" t="n">
        <v>21</v>
      </c>
      <c r="K107" s="20" t="n">
        <v>25</v>
      </c>
      <c r="L107" s="20" t="n">
        <v>26</v>
      </c>
      <c r="M107" s="20" t="n">
        <v>72</v>
      </c>
    </row>
    <row r="108">
      <c r="A108" s="15" t="n">
        <v>28676491</v>
      </c>
      <c r="B108" s="15" t="inlineStr">
        <is>
          <t>121</t>
        </is>
      </c>
      <c r="C108" s="15" t="inlineStr">
        <is>
          <t>F</t>
        </is>
      </c>
      <c r="D108" s="15" t="inlineStr">
        <is>
          <t>01</t>
        </is>
      </c>
      <c r="E108" s="16" t="inlineStr">
        <is>
          <t>Udupi Toastmasters Club</t>
        </is>
      </c>
      <c r="F108" s="15" t="inlineStr">
        <is>
          <t>Active</t>
        </is>
      </c>
      <c r="G108" s="17" t="n">
        <v>29</v>
      </c>
      <c r="H108" s="17" t="n">
        <v>17</v>
      </c>
      <c r="I108" s="17" t="n">
        <v>4</v>
      </c>
      <c r="J108" s="17" t="n">
        <v>14</v>
      </c>
      <c r="K108" s="17" t="n">
        <v>12</v>
      </c>
      <c r="L108" s="17" t="n">
        <v>9</v>
      </c>
      <c r="M108" s="17" t="n">
        <v>35</v>
      </c>
    </row>
    <row r="109">
      <c r="A109" s="18" t="n">
        <v>585650</v>
      </c>
      <c r="B109" s="18" t="inlineStr">
        <is>
          <t>121</t>
        </is>
      </c>
      <c r="C109" s="18" t="inlineStr">
        <is>
          <t>F</t>
        </is>
      </c>
      <c r="D109" s="18" t="inlineStr">
        <is>
          <t>02</t>
        </is>
      </c>
      <c r="E109" s="19" t="inlineStr">
        <is>
          <t>Mangalore Club</t>
        </is>
      </c>
      <c r="F109" s="18" t="inlineStr">
        <is>
          <t>Active</t>
        </is>
      </c>
      <c r="G109" s="20" t="n">
        <v>33</v>
      </c>
      <c r="H109" s="20" t="n">
        <v>33</v>
      </c>
      <c r="I109" s="20" t="n">
        <v>10</v>
      </c>
      <c r="J109" s="20" t="n">
        <v>8</v>
      </c>
      <c r="K109" s="20" t="n">
        <v>34</v>
      </c>
      <c r="L109" s="20" t="n">
        <v>30</v>
      </c>
      <c r="M109" s="20" t="n">
        <v>72</v>
      </c>
    </row>
    <row r="110">
      <c r="A110" s="15" t="n">
        <v>1600545</v>
      </c>
      <c r="B110" s="15" t="inlineStr">
        <is>
          <t>121</t>
        </is>
      </c>
      <c r="C110" s="15" t="inlineStr">
        <is>
          <t>F</t>
        </is>
      </c>
      <c r="D110" s="15" t="inlineStr">
        <is>
          <t>02</t>
        </is>
      </c>
      <c r="E110" s="16" t="inlineStr">
        <is>
          <t>INSPIRON Toastmasters Club</t>
        </is>
      </c>
      <c r="F110" s="15" t="inlineStr">
        <is>
          <t>Active</t>
        </is>
      </c>
      <c r="G110" s="17" t="n">
        <v>30</v>
      </c>
      <c r="H110" s="17" t="n">
        <v>8</v>
      </c>
      <c r="I110" s="17" t="n">
        <v>2</v>
      </c>
      <c r="J110" s="17" t="n">
        <v>0</v>
      </c>
      <c r="K110" s="17" t="n">
        <v>10</v>
      </c>
      <c r="L110" s="17" t="n">
        <v>8</v>
      </c>
      <c r="M110" s="17" t="n">
        <v>18</v>
      </c>
    </row>
    <row r="111">
      <c r="A111" s="18" t="n">
        <v>7817375</v>
      </c>
      <c r="B111" s="18" t="inlineStr">
        <is>
          <t>121</t>
        </is>
      </c>
      <c r="C111" s="18" t="inlineStr">
        <is>
          <t>F</t>
        </is>
      </c>
      <c r="D111" s="18" t="inlineStr">
        <is>
          <t>02</t>
        </is>
      </c>
      <c r="E111" s="19" t="inlineStr">
        <is>
          <t>Karavali Toastmasters Club</t>
        </is>
      </c>
      <c r="F111" s="18" t="inlineStr">
        <is>
          <t>Active</t>
        </is>
      </c>
      <c r="G111" s="20" t="n">
        <v>36</v>
      </c>
      <c r="H111" s="20" t="n">
        <v>25</v>
      </c>
      <c r="I111" s="20" t="n">
        <v>10</v>
      </c>
      <c r="J111" s="20" t="n">
        <v>12</v>
      </c>
      <c r="K111" s="20" t="n">
        <v>25</v>
      </c>
      <c r="L111" s="20" t="n">
        <v>21</v>
      </c>
      <c r="M111" s="20" t="n">
        <v>59</v>
      </c>
    </row>
    <row r="112">
      <c r="A112" s="15" t="n">
        <v>7854374</v>
      </c>
      <c r="B112" s="15" t="inlineStr">
        <is>
          <t>121</t>
        </is>
      </c>
      <c r="C112" s="15" t="inlineStr">
        <is>
          <t>F</t>
        </is>
      </c>
      <c r="D112" s="15" t="inlineStr">
        <is>
          <t>02</t>
        </is>
      </c>
      <c r="E112" s="16" t="inlineStr">
        <is>
          <t>Roshni Toastmasters Club</t>
        </is>
      </c>
      <c r="F112" s="15" t="inlineStr">
        <is>
          <t>Active</t>
        </is>
      </c>
      <c r="G112" s="17" t="n">
        <v>20</v>
      </c>
      <c r="H112" s="17" t="n">
        <v>9</v>
      </c>
      <c r="I112" s="17" t="n">
        <v>4</v>
      </c>
      <c r="J112" s="17" t="n">
        <v>3</v>
      </c>
      <c r="K112" s="17" t="n">
        <v>8</v>
      </c>
      <c r="L112" s="17" t="n">
        <v>8</v>
      </c>
      <c r="M112" s="17" t="n">
        <v>19</v>
      </c>
    </row>
    <row r="113">
      <c r="A113" s="18" t="n">
        <v>3698</v>
      </c>
      <c r="B113" s="18" t="inlineStr">
        <is>
          <t>121</t>
        </is>
      </c>
      <c r="C113" s="18" t="inlineStr">
        <is>
          <t>F</t>
        </is>
      </c>
      <c r="D113" s="18" t="inlineStr">
        <is>
          <t>03</t>
        </is>
      </c>
      <c r="E113" s="19" t="inlineStr">
        <is>
          <t xml:space="preserve">Winners Club </t>
        </is>
      </c>
      <c r="F113" s="18" t="inlineStr">
        <is>
          <t>Active</t>
        </is>
      </c>
      <c r="G113" s="20" t="n">
        <v>42</v>
      </c>
      <c r="H113" s="20" t="n">
        <v>25</v>
      </c>
      <c r="I113" s="20" t="n">
        <v>10</v>
      </c>
      <c r="J113" s="20" t="n">
        <v>10</v>
      </c>
      <c r="K113" s="20" t="n">
        <v>22</v>
      </c>
      <c r="L113" s="20" t="n">
        <v>21</v>
      </c>
      <c r="M113" s="20" t="n">
        <v>53</v>
      </c>
    </row>
    <row r="114">
      <c r="A114" s="15" t="n">
        <v>7325136</v>
      </c>
      <c r="B114" s="15" t="inlineStr">
        <is>
          <t>121</t>
        </is>
      </c>
      <c r="C114" s="15" t="inlineStr">
        <is>
          <t>F</t>
        </is>
      </c>
      <c r="D114" s="15" t="inlineStr">
        <is>
          <t>03</t>
        </is>
      </c>
      <c r="E114" s="16" t="inlineStr">
        <is>
          <t>Bantwal Speech Weavers</t>
        </is>
      </c>
      <c r="F114" s="15" t="inlineStr">
        <is>
          <t>Active</t>
        </is>
      </c>
      <c r="G114" s="17" t="n">
        <v>17</v>
      </c>
      <c r="H114" s="17" t="n">
        <v>20</v>
      </c>
      <c r="I114" s="17" t="n">
        <v>9</v>
      </c>
      <c r="J114" s="17" t="n">
        <v>12</v>
      </c>
      <c r="K114" s="17" t="n">
        <v>16</v>
      </c>
      <c r="L114" s="17" t="n">
        <v>15</v>
      </c>
      <c r="M114" s="17" t="n">
        <v>43</v>
      </c>
    </row>
    <row r="115">
      <c r="A115" s="18" t="n">
        <v>7860728</v>
      </c>
      <c r="B115" s="18" t="inlineStr">
        <is>
          <t>121</t>
        </is>
      </c>
      <c r="C115" s="18" t="inlineStr">
        <is>
          <t>F</t>
        </is>
      </c>
      <c r="D115" s="18" t="inlineStr">
        <is>
          <t>03</t>
        </is>
      </c>
      <c r="E115" s="19" t="inlineStr">
        <is>
          <t>Yenunciate Toastmasters Club</t>
        </is>
      </c>
      <c r="F115" s="18" t="inlineStr">
        <is>
          <t>Active</t>
        </is>
      </c>
      <c r="G115" s="20" t="n">
        <v>8</v>
      </c>
      <c r="H115" s="20" t="n">
        <v>22</v>
      </c>
      <c r="I115" s="20" t="n">
        <v>4</v>
      </c>
      <c r="J115" s="20" t="n">
        <v>20</v>
      </c>
      <c r="K115" s="20" t="n">
        <v>3</v>
      </c>
      <c r="L115" s="20" t="n">
        <v>16</v>
      </c>
      <c r="M115" s="20" t="n">
        <v>39</v>
      </c>
    </row>
    <row r="116">
      <c r="A116" s="15" t="n">
        <v>7877748</v>
      </c>
      <c r="B116" s="15" t="inlineStr">
        <is>
          <t>121</t>
        </is>
      </c>
      <c r="C116" s="15" t="inlineStr">
        <is>
          <t>F</t>
        </is>
      </c>
      <c r="D116" s="15" t="inlineStr">
        <is>
          <t>03</t>
        </is>
      </c>
      <c r="E116" s="16" t="inlineStr">
        <is>
          <t>Let's Debate Toastmasters Club</t>
        </is>
      </c>
      <c r="F116" s="15" t="inlineStr">
        <is>
          <t>Active</t>
        </is>
      </c>
      <c r="G116" s="17" t="n">
        <v>31</v>
      </c>
      <c r="H116" s="17" t="n">
        <v>21</v>
      </c>
      <c r="I116" s="17" t="n">
        <v>9</v>
      </c>
      <c r="J116" s="17" t="n">
        <v>8</v>
      </c>
      <c r="K116" s="17" t="n">
        <v>14</v>
      </c>
      <c r="L116" s="17" t="n">
        <v>13</v>
      </c>
      <c r="M116" s="17" t="n">
        <v>35</v>
      </c>
    </row>
    <row r="117">
      <c r="A117" s="18" t="n">
        <v>28678782</v>
      </c>
      <c r="B117" s="18" t="inlineStr">
        <is>
          <t>121</t>
        </is>
      </c>
      <c r="C117" s="18" t="inlineStr">
        <is>
          <t>F</t>
        </is>
      </c>
      <c r="D117" s="18" t="inlineStr">
        <is>
          <t>03</t>
        </is>
      </c>
      <c r="E117" s="19" t="inlineStr">
        <is>
          <t>Moodbidri Toastmasters Club</t>
        </is>
      </c>
      <c r="F117" s="18" t="inlineStr">
        <is>
          <t>Active</t>
        </is>
      </c>
      <c r="G117" s="20" t="n">
        <v>22</v>
      </c>
      <c r="H117" s="20" t="n">
        <v>9</v>
      </c>
      <c r="I117" s="20" t="n">
        <v>2</v>
      </c>
      <c r="J117" s="20" t="n">
        <v>1</v>
      </c>
      <c r="K117" s="20" t="n">
        <v>9</v>
      </c>
      <c r="L117" s="20" t="n">
        <v>9</v>
      </c>
      <c r="M117" s="20" t="n">
        <v>19</v>
      </c>
    </row>
    <row r="118">
      <c r="A118" s="15" t="n">
        <v>28680397</v>
      </c>
      <c r="B118" s="15" t="inlineStr">
        <is>
          <t>121</t>
        </is>
      </c>
      <c r="C118" s="15" t="inlineStr">
        <is>
          <t>F</t>
        </is>
      </c>
      <c r="D118" s="15" t="inlineStr">
        <is>
          <t>03</t>
        </is>
      </c>
      <c r="E118" s="16" t="inlineStr">
        <is>
          <t>Uxcel Toastmasters Club</t>
        </is>
      </c>
      <c r="F118" s="15" t="inlineStr">
        <is>
          <t>Active</t>
        </is>
      </c>
      <c r="G118" s="17" t="n">
        <v>20</v>
      </c>
      <c r="H118" s="17" t="n">
        <v>20</v>
      </c>
      <c r="I118" s="17" t="n">
        <v>1</v>
      </c>
      <c r="J118" s="17" t="n">
        <v>0</v>
      </c>
      <c r="K118" s="17" t="n">
        <v>0</v>
      </c>
      <c r="L118" s="17" t="n">
        <v>0</v>
      </c>
      <c r="M118" s="17" t="n">
        <v>20</v>
      </c>
    </row>
    <row r="119">
      <c r="A119" s="18" t="n">
        <v>2818428</v>
      </c>
      <c r="B119" s="18" t="inlineStr">
        <is>
          <t>121</t>
        </is>
      </c>
      <c r="C119" s="18" t="inlineStr">
        <is>
          <t>F</t>
        </is>
      </c>
      <c r="D119" s="18" t="inlineStr">
        <is>
          <t>04</t>
        </is>
      </c>
      <c r="E119" s="19" t="inlineStr">
        <is>
          <t>Milagres Toastmasters</t>
        </is>
      </c>
      <c r="F119" s="18" t="inlineStr">
        <is>
          <t>Active</t>
        </is>
      </c>
      <c r="G119" s="20" t="n">
        <v>24</v>
      </c>
      <c r="H119" s="20" t="n">
        <v>9</v>
      </c>
      <c r="I119" s="20" t="n">
        <v>6</v>
      </c>
      <c r="J119" s="20" t="n">
        <v>4</v>
      </c>
      <c r="K119" s="20" t="n">
        <v>9</v>
      </c>
      <c r="L119" s="20" t="n">
        <v>7</v>
      </c>
      <c r="M119" s="20" t="n">
        <v>20</v>
      </c>
    </row>
    <row r="120">
      <c r="A120" s="15" t="n">
        <v>3965394</v>
      </c>
      <c r="B120" s="15" t="inlineStr">
        <is>
          <t>121</t>
        </is>
      </c>
      <c r="C120" s="15" t="inlineStr">
        <is>
          <t>F</t>
        </is>
      </c>
      <c r="D120" s="15" t="inlineStr">
        <is>
          <t>04</t>
        </is>
      </c>
      <c r="E120" s="16" t="inlineStr">
        <is>
          <t>Port Town Advanced Toastmasters</t>
        </is>
      </c>
      <c r="F120" s="15" t="inlineStr">
        <is>
          <t>Active</t>
        </is>
      </c>
      <c r="G120" s="17" t="n">
        <v>55</v>
      </c>
      <c r="H120" s="17" t="n">
        <v>27</v>
      </c>
      <c r="I120" s="17" t="n">
        <v>10</v>
      </c>
      <c r="J120" s="17" t="n">
        <v>16</v>
      </c>
      <c r="K120" s="17" t="n">
        <v>28</v>
      </c>
      <c r="L120" s="17" t="n">
        <v>22</v>
      </c>
      <c r="M120" s="17" t="n">
        <v>66</v>
      </c>
    </row>
    <row r="121">
      <c r="A121" s="18" t="n">
        <v>7575734</v>
      </c>
      <c r="B121" s="18" t="inlineStr">
        <is>
          <t>121</t>
        </is>
      </c>
      <c r="C121" s="18" t="inlineStr">
        <is>
          <t>F</t>
        </is>
      </c>
      <c r="D121" s="18" t="inlineStr">
        <is>
          <t>04</t>
        </is>
      </c>
      <c r="E121" s="19" t="inlineStr">
        <is>
          <t>Agnesian Toastmasters</t>
        </is>
      </c>
      <c r="F121" s="18" t="inlineStr">
        <is>
          <t>Active</t>
        </is>
      </c>
      <c r="G121" s="20" t="n">
        <v>20</v>
      </c>
      <c r="H121" s="20" t="n">
        <v>20</v>
      </c>
      <c r="I121" s="20" t="n">
        <v>10</v>
      </c>
      <c r="J121" s="20" t="n">
        <v>17</v>
      </c>
      <c r="K121" s="20" t="n">
        <v>13</v>
      </c>
      <c r="L121" s="20" t="n">
        <v>9</v>
      </c>
      <c r="M121" s="20" t="n">
        <v>39</v>
      </c>
    </row>
    <row r="122">
      <c r="A122" s="15" t="n">
        <v>28677717</v>
      </c>
      <c r="B122" s="15" t="inlineStr">
        <is>
          <t>121</t>
        </is>
      </c>
      <c r="C122" s="15" t="inlineStr">
        <is>
          <t>F</t>
        </is>
      </c>
      <c r="D122" s="15" t="inlineStr">
        <is>
          <t>04</t>
        </is>
      </c>
      <c r="E122" s="16" t="inlineStr">
        <is>
          <t>Niveus Toastmasters Club</t>
        </is>
      </c>
      <c r="F122" s="15" t="inlineStr">
        <is>
          <t>Active</t>
        </is>
      </c>
      <c r="G122" s="17" t="n">
        <v>29</v>
      </c>
      <c r="H122" s="17" t="n">
        <v>15</v>
      </c>
      <c r="I122" s="17" t="n">
        <v>10</v>
      </c>
      <c r="J122" s="17" t="n">
        <v>8</v>
      </c>
      <c r="K122" s="17" t="n">
        <v>15</v>
      </c>
      <c r="L122" s="17" t="n">
        <v>14</v>
      </c>
      <c r="M122" s="17" t="n">
        <v>37</v>
      </c>
    </row>
    <row r="123">
      <c r="A123" s="18" t="n">
        <v>28678985</v>
      </c>
      <c r="B123" s="18" t="inlineStr">
        <is>
          <t>121</t>
        </is>
      </c>
      <c r="C123" s="18" t="inlineStr">
        <is>
          <t>F</t>
        </is>
      </c>
      <c r="D123" s="18" t="inlineStr">
        <is>
          <t>04</t>
        </is>
      </c>
      <c r="E123" s="19" t="inlineStr">
        <is>
          <t>Champion Evaluators Advanced Toastmasters Club</t>
        </is>
      </c>
      <c r="F123" s="18" t="inlineStr">
        <is>
          <t>Active</t>
        </is>
      </c>
      <c r="G123" s="20" t="n">
        <v>23</v>
      </c>
      <c r="H123" s="20" t="n">
        <v>20</v>
      </c>
      <c r="I123" s="20" t="n">
        <v>7</v>
      </c>
      <c r="J123" s="20" t="n">
        <v>7</v>
      </c>
      <c r="K123" s="20" t="n">
        <v>25</v>
      </c>
      <c r="L123" s="20" t="n">
        <v>18</v>
      </c>
      <c r="M123" s="20" t="n">
        <v>50</v>
      </c>
    </row>
    <row r="124">
      <c r="A124" s="15" t="n">
        <v>1597746</v>
      </c>
      <c r="B124" s="15" t="inlineStr">
        <is>
          <t>121</t>
        </is>
      </c>
      <c r="C124" s="15" t="inlineStr">
        <is>
          <t>F</t>
        </is>
      </c>
      <c r="D124" s="15" t="inlineStr">
        <is>
          <t>05</t>
        </is>
      </c>
      <c r="E124" s="16" t="inlineStr">
        <is>
          <t>ProAct Toastmasters Club</t>
        </is>
      </c>
      <c r="F124" s="15" t="inlineStr">
        <is>
          <t>Active</t>
        </is>
      </c>
      <c r="G124" s="17" t="n">
        <v>19</v>
      </c>
      <c r="H124" s="17" t="n">
        <v>20</v>
      </c>
      <c r="I124" s="17" t="n">
        <v>6</v>
      </c>
      <c r="J124" s="17" t="n">
        <v>14</v>
      </c>
      <c r="K124" s="17" t="n">
        <v>14</v>
      </c>
      <c r="L124" s="17" t="n">
        <v>11</v>
      </c>
      <c r="M124" s="17" t="n">
        <v>39</v>
      </c>
    </row>
    <row r="125">
      <c r="A125" s="18" t="n">
        <v>7845796</v>
      </c>
      <c r="B125" s="18" t="inlineStr">
        <is>
          <t>121</t>
        </is>
      </c>
      <c r="C125" s="18" t="inlineStr">
        <is>
          <t>F</t>
        </is>
      </c>
      <c r="D125" s="18" t="inlineStr">
        <is>
          <t>05</t>
        </is>
      </c>
      <c r="E125" s="19" t="inlineStr">
        <is>
          <t>Konkan Toastmasters</t>
        </is>
      </c>
      <c r="F125" s="18" t="inlineStr">
        <is>
          <t>Active</t>
        </is>
      </c>
      <c r="G125" s="20" t="n">
        <v>35</v>
      </c>
      <c r="H125" s="20" t="n">
        <v>20</v>
      </c>
      <c r="I125" s="20" t="n">
        <v>5</v>
      </c>
      <c r="J125" s="20" t="n">
        <v>3</v>
      </c>
      <c r="K125" s="20" t="n">
        <v>20</v>
      </c>
      <c r="L125" s="20" t="n">
        <v>17</v>
      </c>
      <c r="M125" s="20" t="n">
        <v>40</v>
      </c>
    </row>
    <row r="126">
      <c r="A126" s="15" t="n">
        <v>7856512</v>
      </c>
      <c r="B126" s="15" t="inlineStr">
        <is>
          <t>121</t>
        </is>
      </c>
      <c r="C126" s="15" t="inlineStr">
        <is>
          <t>F</t>
        </is>
      </c>
      <c r="D126" s="15" t="inlineStr">
        <is>
          <t>05</t>
        </is>
      </c>
      <c r="E126" s="16" t="inlineStr">
        <is>
          <t>St Aloysius Toastmasters Club</t>
        </is>
      </c>
      <c r="F126" s="15" t="inlineStr">
        <is>
          <t>Active</t>
        </is>
      </c>
      <c r="G126" s="17" t="n">
        <v>20</v>
      </c>
      <c r="H126" s="17" t="n">
        <v>13</v>
      </c>
      <c r="I126" s="17" t="n">
        <v>10</v>
      </c>
      <c r="J126" s="17" t="n">
        <v>11</v>
      </c>
      <c r="K126" s="17" t="n">
        <v>21</v>
      </c>
      <c r="L126" s="17" t="n">
        <v>12</v>
      </c>
      <c r="M126" s="17" t="n">
        <v>44</v>
      </c>
    </row>
    <row r="127">
      <c r="A127" s="18" t="n">
        <v>28678100</v>
      </c>
      <c r="B127" s="18" t="inlineStr">
        <is>
          <t>121</t>
        </is>
      </c>
      <c r="C127" s="18" t="inlineStr">
        <is>
          <t>F</t>
        </is>
      </c>
      <c r="D127" s="18" t="inlineStr">
        <is>
          <t>05</t>
        </is>
      </c>
      <c r="E127" s="19" t="inlineStr">
        <is>
          <t>Coastal Divas Toastmasters Club</t>
        </is>
      </c>
      <c r="F127" s="18" t="inlineStr">
        <is>
          <t>Active</t>
        </is>
      </c>
      <c r="G127" s="20" t="n">
        <v>21</v>
      </c>
      <c r="H127" s="20" t="n">
        <v>20</v>
      </c>
      <c r="I127" s="20" t="n">
        <v>7</v>
      </c>
      <c r="J127" s="20" t="n">
        <v>8</v>
      </c>
      <c r="K127" s="20" t="n">
        <v>15</v>
      </c>
      <c r="L127" s="20" t="n">
        <v>12</v>
      </c>
      <c r="M127" s="20" t="n">
        <v>35</v>
      </c>
    </row>
    <row r="128">
      <c r="A128" s="15" t="n">
        <v>28679902</v>
      </c>
      <c r="B128" s="15" t="inlineStr">
        <is>
          <t>121</t>
        </is>
      </c>
      <c r="C128" s="15" t="inlineStr">
        <is>
          <t>F</t>
        </is>
      </c>
      <c r="D128" s="15" t="inlineStr">
        <is>
          <t>05</t>
        </is>
      </c>
      <c r="E128" s="16" t="inlineStr">
        <is>
          <t>EG India Toastmasters Club</t>
        </is>
      </c>
      <c r="F128" s="15" t="inlineStr">
        <is>
          <t>Active</t>
        </is>
      </c>
      <c r="G128" s="17" t="n">
        <v>45</v>
      </c>
      <c r="H128" s="17" t="n">
        <v>45</v>
      </c>
      <c r="I128" s="17" t="n">
        <v>1</v>
      </c>
      <c r="J128" s="17" t="n">
        <v>0</v>
      </c>
      <c r="K128" s="17" t="n">
        <v>0</v>
      </c>
      <c r="L128" s="17" t="n">
        <v>45</v>
      </c>
      <c r="M128" s="17" t="n">
        <v>90</v>
      </c>
    </row>
    <row r="129">
      <c r="A129" s="18" t="n">
        <v>2389985</v>
      </c>
      <c r="B129" s="18" t="inlineStr">
        <is>
          <t>121</t>
        </is>
      </c>
      <c r="C129" s="18" t="inlineStr">
        <is>
          <t>G</t>
        </is>
      </c>
      <c r="D129" s="18" t="inlineStr">
        <is>
          <t>01</t>
        </is>
      </c>
      <c r="E129" s="19" t="inlineStr">
        <is>
          <t>Trivandrum Toastmasters</t>
        </is>
      </c>
      <c r="F129" s="18" t="inlineStr">
        <is>
          <t>Active</t>
        </is>
      </c>
      <c r="G129" s="20" t="n">
        <v>31</v>
      </c>
      <c r="H129" s="20" t="n">
        <v>29</v>
      </c>
      <c r="I129" s="20" t="n">
        <v>10</v>
      </c>
      <c r="J129" s="20" t="n">
        <v>22</v>
      </c>
      <c r="K129" s="20" t="n">
        <v>28</v>
      </c>
      <c r="L129" s="20" t="n">
        <v>22</v>
      </c>
      <c r="M129" s="20" t="n">
        <v>72</v>
      </c>
    </row>
    <row r="130">
      <c r="A130" s="15" t="n">
        <v>28677100</v>
      </c>
      <c r="B130" s="15" t="inlineStr">
        <is>
          <t>121</t>
        </is>
      </c>
      <c r="C130" s="15" t="inlineStr">
        <is>
          <t>G</t>
        </is>
      </c>
      <c r="D130" s="15" t="inlineStr">
        <is>
          <t>01</t>
        </is>
      </c>
      <c r="E130" s="16" t="inlineStr">
        <is>
          <t>SADA India Toastmasters Club</t>
        </is>
      </c>
      <c r="F130" s="15" t="inlineStr">
        <is>
          <t>Active</t>
        </is>
      </c>
      <c r="G130" s="17" t="n">
        <v>23</v>
      </c>
      <c r="H130" s="17" t="n">
        <v>12</v>
      </c>
      <c r="I130" s="17" t="n">
        <v>7</v>
      </c>
      <c r="J130" s="17" t="n">
        <v>10</v>
      </c>
      <c r="K130" s="17" t="n">
        <v>4</v>
      </c>
      <c r="L130" s="17" t="n">
        <v>9</v>
      </c>
      <c r="M130" s="17" t="n">
        <v>23</v>
      </c>
    </row>
    <row r="131">
      <c r="A131" s="18" t="n">
        <v>28677544</v>
      </c>
      <c r="B131" s="18" t="inlineStr">
        <is>
          <t>121</t>
        </is>
      </c>
      <c r="C131" s="18" t="inlineStr">
        <is>
          <t>G</t>
        </is>
      </c>
      <c r="D131" s="18" t="inlineStr">
        <is>
          <t>01</t>
        </is>
      </c>
      <c r="E131" s="19" t="inlineStr">
        <is>
          <t>Neyyar Toastmasters Club</t>
        </is>
      </c>
      <c r="F131" s="18" t="inlineStr">
        <is>
          <t>Active</t>
        </is>
      </c>
      <c r="G131" s="20" t="n">
        <v>16</v>
      </c>
      <c r="H131" s="20" t="n">
        <v>8</v>
      </c>
      <c r="I131" s="20" t="n">
        <v>8</v>
      </c>
      <c r="J131" s="20" t="n">
        <v>4</v>
      </c>
      <c r="K131" s="20" t="n">
        <v>10</v>
      </c>
      <c r="L131" s="20" t="n">
        <v>4</v>
      </c>
      <c r="M131" s="20" t="n">
        <v>18</v>
      </c>
    </row>
    <row r="132">
      <c r="A132" s="15" t="n">
        <v>28678049</v>
      </c>
      <c r="B132" s="15" t="inlineStr">
        <is>
          <t>121</t>
        </is>
      </c>
      <c r="C132" s="15" t="inlineStr">
        <is>
          <t>G</t>
        </is>
      </c>
      <c r="D132" s="15" t="inlineStr">
        <is>
          <t>01</t>
        </is>
      </c>
      <c r="E132" s="16" t="inlineStr">
        <is>
          <t>TCS Maitree Trivandrum Toastmasters</t>
        </is>
      </c>
      <c r="F132" s="15" t="inlineStr">
        <is>
          <t>Active</t>
        </is>
      </c>
      <c r="G132" s="17" t="n">
        <v>9</v>
      </c>
      <c r="H132" s="17" t="n">
        <v>8</v>
      </c>
      <c r="I132" s="17" t="n">
        <v>3</v>
      </c>
      <c r="J132" s="17" t="n">
        <v>4</v>
      </c>
      <c r="K132" s="17" t="n">
        <v>7</v>
      </c>
      <c r="L132" s="17" t="n">
        <v>6</v>
      </c>
      <c r="M132" s="17" t="n">
        <v>17</v>
      </c>
    </row>
    <row r="133">
      <c r="A133" s="18" t="n">
        <v>28679400</v>
      </c>
      <c r="B133" s="18" t="inlineStr">
        <is>
          <t>121</t>
        </is>
      </c>
      <c r="C133" s="18" t="inlineStr">
        <is>
          <t>G</t>
        </is>
      </c>
      <c r="D133" s="18" t="inlineStr">
        <is>
          <t>01</t>
        </is>
      </c>
      <c r="E133" s="19" t="inlineStr">
        <is>
          <t>RRD Trivandrum Toastmasters Club</t>
        </is>
      </c>
      <c r="F133" s="18" t="inlineStr">
        <is>
          <t>Active</t>
        </is>
      </c>
      <c r="G133" s="20" t="n">
        <v>20</v>
      </c>
      <c r="H133" s="20" t="n">
        <v>21</v>
      </c>
      <c r="I133" s="20" t="n">
        <v>5</v>
      </c>
      <c r="J133" s="20" t="n">
        <v>4</v>
      </c>
      <c r="K133" s="20" t="n">
        <v>0</v>
      </c>
      <c r="L133" s="20" t="n">
        <v>17</v>
      </c>
      <c r="M133" s="20" t="n">
        <v>41</v>
      </c>
    </row>
    <row r="134">
      <c r="A134" s="15" t="n">
        <v>7291065</v>
      </c>
      <c r="B134" s="15" t="inlineStr">
        <is>
          <t>121</t>
        </is>
      </c>
      <c r="C134" s="15" t="inlineStr">
        <is>
          <t>G</t>
        </is>
      </c>
      <c r="D134" s="15" t="inlineStr">
        <is>
          <t>02</t>
        </is>
      </c>
      <c r="E134" s="16" t="inlineStr">
        <is>
          <t>H&amp;R Block Toastmasters</t>
        </is>
      </c>
      <c r="F134" s="15" t="inlineStr">
        <is>
          <t>Active</t>
        </is>
      </c>
      <c r="G134" s="17" t="n">
        <v>29</v>
      </c>
      <c r="H134" s="17" t="n">
        <v>37</v>
      </c>
      <c r="I134" s="17" t="n">
        <v>10</v>
      </c>
      <c r="J134" s="17" t="n">
        <v>16</v>
      </c>
      <c r="K134" s="17" t="n">
        <v>33</v>
      </c>
      <c r="L134" s="17" t="n">
        <v>34</v>
      </c>
      <c r="M134" s="17" t="n">
        <v>83</v>
      </c>
    </row>
    <row r="135">
      <c r="A135" s="18" t="n">
        <v>7844793</v>
      </c>
      <c r="B135" s="18" t="inlineStr">
        <is>
          <t>121</t>
        </is>
      </c>
      <c r="C135" s="18" t="inlineStr">
        <is>
          <t>G</t>
        </is>
      </c>
      <c r="D135" s="18" t="inlineStr">
        <is>
          <t>02</t>
        </is>
      </c>
      <c r="E135" s="19" t="inlineStr">
        <is>
          <t>Technopark Toastmasters</t>
        </is>
      </c>
      <c r="F135" s="18" t="inlineStr">
        <is>
          <t>Active</t>
        </is>
      </c>
      <c r="G135" s="20" t="n">
        <v>29</v>
      </c>
      <c r="H135" s="20" t="n">
        <v>26</v>
      </c>
      <c r="I135" s="20" t="n">
        <v>10</v>
      </c>
      <c r="J135" s="20" t="n">
        <v>20</v>
      </c>
      <c r="K135" s="20" t="n">
        <v>24</v>
      </c>
      <c r="L135" s="20" t="n">
        <v>21</v>
      </c>
      <c r="M135" s="20" t="n">
        <v>65</v>
      </c>
    </row>
    <row r="136">
      <c r="A136" s="15" t="n">
        <v>28675833</v>
      </c>
      <c r="B136" s="15" t="inlineStr">
        <is>
          <t>121</t>
        </is>
      </c>
      <c r="C136" s="15" t="inlineStr">
        <is>
          <t>G</t>
        </is>
      </c>
      <c r="D136" s="15" t="inlineStr">
        <is>
          <t>02</t>
        </is>
      </c>
      <c r="E136" s="16" t="inlineStr">
        <is>
          <t>DCSMAT TRIVANDRUM Toastmasters</t>
        </is>
      </c>
      <c r="F136" s="15" t="inlineStr">
        <is>
          <t>Active</t>
        </is>
      </c>
      <c r="G136" s="17" t="n">
        <v>17</v>
      </c>
      <c r="H136" s="17" t="n">
        <v>8</v>
      </c>
      <c r="I136" s="17" t="n">
        <v>4</v>
      </c>
      <c r="J136" s="17" t="n">
        <v>8</v>
      </c>
      <c r="K136" s="17" t="n">
        <v>8</v>
      </c>
      <c r="L136" s="17" t="n">
        <v>3</v>
      </c>
      <c r="M136" s="17" t="n">
        <v>19</v>
      </c>
    </row>
    <row r="137">
      <c r="A137" s="18" t="n">
        <v>28677502</v>
      </c>
      <c r="B137" s="18" t="inlineStr">
        <is>
          <t>121</t>
        </is>
      </c>
      <c r="C137" s="18" t="inlineStr">
        <is>
          <t>G</t>
        </is>
      </c>
      <c r="D137" s="18" t="inlineStr">
        <is>
          <t>02</t>
        </is>
      </c>
      <c r="E137" s="19" t="inlineStr">
        <is>
          <t>Allianz Services Toastmasters Club</t>
        </is>
      </c>
      <c r="F137" s="18" t="inlineStr">
        <is>
          <t>Active</t>
        </is>
      </c>
      <c r="G137" s="20" t="n">
        <v>63</v>
      </c>
      <c r="H137" s="20" t="n">
        <v>44</v>
      </c>
      <c r="I137" s="20" t="n">
        <v>7</v>
      </c>
      <c r="J137" s="20" t="n">
        <v>26</v>
      </c>
      <c r="K137" s="20" t="n">
        <v>38</v>
      </c>
      <c r="L137" s="20" t="n">
        <v>18</v>
      </c>
      <c r="M137" s="20" t="n">
        <v>82</v>
      </c>
    </row>
    <row r="138">
      <c r="A138" s="15" t="n">
        <v>28679587</v>
      </c>
      <c r="B138" s="15" t="inlineStr">
        <is>
          <t>121</t>
        </is>
      </c>
      <c r="C138" s="15" t="inlineStr">
        <is>
          <t>G</t>
        </is>
      </c>
      <c r="D138" s="15" t="inlineStr">
        <is>
          <t>02</t>
        </is>
      </c>
      <c r="E138" s="16" t="inlineStr">
        <is>
          <t>The Toastmasters' Travelogue</t>
        </is>
      </c>
      <c r="F138" s="15" t="inlineStr">
        <is>
          <t>Active</t>
        </is>
      </c>
      <c r="G138" s="17" t="n">
        <v>20</v>
      </c>
      <c r="H138" s="17" t="n">
        <v>24</v>
      </c>
      <c r="I138" s="17" t="n">
        <v>5</v>
      </c>
      <c r="J138" s="17" t="n">
        <v>4</v>
      </c>
      <c r="K138" s="17" t="n">
        <v>0</v>
      </c>
      <c r="L138" s="17" t="n">
        <v>19</v>
      </c>
      <c r="M138" s="17" t="n">
        <v>43</v>
      </c>
    </row>
    <row r="139">
      <c r="A139" s="18" t="n">
        <v>7843793</v>
      </c>
      <c r="B139" s="18" t="inlineStr">
        <is>
          <t>121</t>
        </is>
      </c>
      <c r="C139" s="18" t="inlineStr">
        <is>
          <t>G</t>
        </is>
      </c>
      <c r="D139" s="18" t="inlineStr">
        <is>
          <t>03</t>
        </is>
      </c>
      <c r="E139" s="19" t="inlineStr">
        <is>
          <t>Ananthapuri Toastmasters</t>
        </is>
      </c>
      <c r="F139" s="18" t="inlineStr">
        <is>
          <t>Active</t>
        </is>
      </c>
      <c r="G139" s="20" t="n">
        <v>20</v>
      </c>
      <c r="H139" s="20" t="n">
        <v>22</v>
      </c>
      <c r="I139" s="20" t="n">
        <v>7</v>
      </c>
      <c r="J139" s="20" t="n">
        <v>9</v>
      </c>
      <c r="K139" s="20" t="n">
        <v>21</v>
      </c>
      <c r="L139" s="20" t="n">
        <v>18</v>
      </c>
      <c r="M139" s="20" t="n">
        <v>48</v>
      </c>
    </row>
    <row r="140">
      <c r="A140" s="15" t="n">
        <v>7998505</v>
      </c>
      <c r="B140" s="15" t="inlineStr">
        <is>
          <t>121</t>
        </is>
      </c>
      <c r="C140" s="15" t="inlineStr">
        <is>
          <t>G</t>
        </is>
      </c>
      <c r="D140" s="15" t="inlineStr">
        <is>
          <t>03</t>
        </is>
      </c>
      <c r="E140" s="16" t="inlineStr">
        <is>
          <t>PMI Kerala Chapter Toastmasters Club</t>
        </is>
      </c>
      <c r="F140" s="15" t="inlineStr">
        <is>
          <t>Active</t>
        </is>
      </c>
      <c r="G140" s="17" t="n">
        <v>20</v>
      </c>
      <c r="H140" s="17" t="n">
        <v>11</v>
      </c>
      <c r="I140" s="17" t="n">
        <v>5</v>
      </c>
      <c r="J140" s="17" t="n">
        <v>4</v>
      </c>
      <c r="K140" s="17" t="n">
        <v>12</v>
      </c>
      <c r="L140" s="17" t="n">
        <v>9</v>
      </c>
      <c r="M140" s="17" t="n">
        <v>25</v>
      </c>
    </row>
    <row r="141">
      <c r="A141" s="18" t="n">
        <v>28677285</v>
      </c>
      <c r="B141" s="18" t="inlineStr">
        <is>
          <t>121</t>
        </is>
      </c>
      <c r="C141" s="18" t="inlineStr">
        <is>
          <t>G</t>
        </is>
      </c>
      <c r="D141" s="18" t="inlineStr">
        <is>
          <t>03</t>
        </is>
      </c>
      <c r="E141" s="19" t="inlineStr">
        <is>
          <t>SmarTalk Toastmasters</t>
        </is>
      </c>
      <c r="F141" s="18" t="inlineStr">
        <is>
          <t>Active</t>
        </is>
      </c>
      <c r="G141" s="20" t="n">
        <v>24</v>
      </c>
      <c r="H141" s="20" t="n">
        <v>20</v>
      </c>
      <c r="I141" s="20" t="n">
        <v>10</v>
      </c>
      <c r="J141" s="20" t="n">
        <v>15</v>
      </c>
      <c r="K141" s="20" t="n">
        <v>18</v>
      </c>
      <c r="L141" s="20" t="n">
        <v>16</v>
      </c>
      <c r="M141" s="20" t="n">
        <v>49</v>
      </c>
    </row>
    <row r="142">
      <c r="A142" s="15" t="n">
        <v>28678096</v>
      </c>
      <c r="B142" s="15" t="inlineStr">
        <is>
          <t>121</t>
        </is>
      </c>
      <c r="C142" s="15" t="inlineStr">
        <is>
          <t>G</t>
        </is>
      </c>
      <c r="D142" s="15" t="inlineStr">
        <is>
          <t>03</t>
        </is>
      </c>
      <c r="E142" s="16" t="inlineStr">
        <is>
          <t>Toastmasters of Trinfy</t>
        </is>
      </c>
      <c r="F142" s="15" t="inlineStr">
        <is>
          <t>Active</t>
        </is>
      </c>
      <c r="G142" s="17" t="n">
        <v>26</v>
      </c>
      <c r="H142" s="17" t="n">
        <v>20</v>
      </c>
      <c r="I142" s="17" t="n">
        <v>9</v>
      </c>
      <c r="J142" s="17" t="n">
        <v>7</v>
      </c>
      <c r="K142" s="17" t="n">
        <v>17</v>
      </c>
      <c r="L142" s="17" t="n">
        <v>17</v>
      </c>
      <c r="M142" s="17" t="n">
        <v>41</v>
      </c>
    </row>
    <row r="143">
      <c r="A143" s="18" t="n">
        <v>5044336</v>
      </c>
      <c r="B143" s="18" t="inlineStr">
        <is>
          <t>121</t>
        </is>
      </c>
      <c r="C143" s="18" t="inlineStr">
        <is>
          <t>G</t>
        </is>
      </c>
      <c r="D143" s="18" t="inlineStr">
        <is>
          <t>04</t>
        </is>
      </c>
      <c r="E143" s="19" t="inlineStr">
        <is>
          <t>The Quilon Toastmasters</t>
        </is>
      </c>
      <c r="F143" s="18" t="inlineStr">
        <is>
          <t>Active</t>
        </is>
      </c>
      <c r="G143" s="20" t="n">
        <v>21</v>
      </c>
      <c r="H143" s="20" t="n">
        <v>22</v>
      </c>
      <c r="I143" s="20" t="n">
        <v>10</v>
      </c>
      <c r="J143" s="20" t="n">
        <v>12</v>
      </c>
      <c r="K143" s="20" t="n">
        <v>16</v>
      </c>
      <c r="L143" s="20" t="n">
        <v>20</v>
      </c>
      <c r="M143" s="20" t="n">
        <v>48</v>
      </c>
    </row>
    <row r="144">
      <c r="A144" s="15" t="n">
        <v>5455119</v>
      </c>
      <c r="B144" s="15" t="inlineStr">
        <is>
          <t>121</t>
        </is>
      </c>
      <c r="C144" s="15" t="inlineStr">
        <is>
          <t>G</t>
        </is>
      </c>
      <c r="D144" s="15" t="inlineStr">
        <is>
          <t>04</t>
        </is>
      </c>
      <c r="E144" s="16" t="inlineStr">
        <is>
          <t>Centennial Orators</t>
        </is>
      </c>
      <c r="F144" s="15" t="inlineStr">
        <is>
          <t>Active</t>
        </is>
      </c>
      <c r="G144" s="17" t="n">
        <v>12</v>
      </c>
      <c r="H144" s="17" t="n">
        <v>17</v>
      </c>
      <c r="I144" s="17" t="n">
        <v>10</v>
      </c>
      <c r="J144" s="17" t="n">
        <v>13</v>
      </c>
      <c r="K144" s="17" t="n">
        <v>11</v>
      </c>
      <c r="L144" s="17" t="n">
        <v>9</v>
      </c>
      <c r="M144" s="17" t="n">
        <v>33</v>
      </c>
    </row>
    <row r="145">
      <c r="A145" s="18" t="n">
        <v>28675854</v>
      </c>
      <c r="B145" s="18" t="inlineStr">
        <is>
          <t>121</t>
        </is>
      </c>
      <c r="C145" s="18" t="inlineStr">
        <is>
          <t>G</t>
        </is>
      </c>
      <c r="D145" s="18" t="inlineStr">
        <is>
          <t>04</t>
        </is>
      </c>
      <c r="E145" s="19" t="inlineStr">
        <is>
          <t>SparkleV Toastmasters</t>
        </is>
      </c>
      <c r="F145" s="18" t="inlineStr">
        <is>
          <t>Active</t>
        </is>
      </c>
      <c r="G145" s="20" t="n">
        <v>20</v>
      </c>
      <c r="H145" s="20" t="n">
        <v>11</v>
      </c>
      <c r="I145" s="20" t="n">
        <v>5</v>
      </c>
      <c r="J145" s="20" t="n">
        <v>0</v>
      </c>
      <c r="K145" s="20" t="n">
        <v>15</v>
      </c>
      <c r="L145" s="20" t="n">
        <v>11</v>
      </c>
      <c r="M145" s="20" t="n">
        <v>26</v>
      </c>
    </row>
    <row r="146">
      <c r="A146" s="15" t="n">
        <v>28677130</v>
      </c>
      <c r="B146" s="15" t="inlineStr">
        <is>
          <t>121</t>
        </is>
      </c>
      <c r="C146" s="15" t="inlineStr">
        <is>
          <t>G</t>
        </is>
      </c>
      <c r="D146" s="15" t="inlineStr">
        <is>
          <t>04</t>
        </is>
      </c>
      <c r="E146" s="16" t="inlineStr">
        <is>
          <t>Amrita Amritapuri Toastmasters Club</t>
        </is>
      </c>
      <c r="F146" s="15" t="inlineStr">
        <is>
          <t>Active</t>
        </is>
      </c>
      <c r="G146" s="17" t="n">
        <v>12</v>
      </c>
      <c r="H146" s="17" t="n">
        <v>28</v>
      </c>
      <c r="I146" s="17" t="n">
        <v>10</v>
      </c>
      <c r="J146" s="17" t="n">
        <v>26</v>
      </c>
      <c r="K146" s="17" t="n">
        <v>16</v>
      </c>
      <c r="L146" s="17" t="n">
        <v>15</v>
      </c>
      <c r="M146" s="17" t="n">
        <v>57</v>
      </c>
    </row>
    <row r="147">
      <c r="A147" s="18" t="n">
        <v>28680203</v>
      </c>
      <c r="B147" s="18" t="inlineStr">
        <is>
          <t>121</t>
        </is>
      </c>
      <c r="C147" s="18" t="inlineStr">
        <is>
          <t>G</t>
        </is>
      </c>
      <c r="D147" s="18" t="inlineStr">
        <is>
          <t>04</t>
        </is>
      </c>
      <c r="E147" s="19" t="inlineStr">
        <is>
          <t>Allianz Technology Toastmasters Club Trivandrum</t>
        </is>
      </c>
      <c r="F147" s="18" t="inlineStr">
        <is>
          <t>Active</t>
        </is>
      </c>
      <c r="G147" s="20" t="n">
        <v>25</v>
      </c>
      <c r="H147" s="20" t="n">
        <v>25</v>
      </c>
      <c r="I147" s="20" t="n">
        <v>1</v>
      </c>
      <c r="J147" s="20" t="n">
        <v>0</v>
      </c>
      <c r="K147" s="20" t="n">
        <v>0</v>
      </c>
      <c r="L147" s="20" t="n">
        <v>0</v>
      </c>
      <c r="M147" s="20" t="n">
        <v>25</v>
      </c>
    </row>
    <row r="148">
      <c r="A148" s="15" t="n">
        <v>691074</v>
      </c>
      <c r="B148" s="15" t="inlineStr">
        <is>
          <t>121</t>
        </is>
      </c>
      <c r="C148" s="15" t="inlineStr">
        <is>
          <t>H</t>
        </is>
      </c>
      <c r="D148" s="15" t="inlineStr">
        <is>
          <t>01</t>
        </is>
      </c>
      <c r="E148" s="16" t="inlineStr">
        <is>
          <t>Kochi Club</t>
        </is>
      </c>
      <c r="F148" s="15" t="inlineStr">
        <is>
          <t>Active</t>
        </is>
      </c>
      <c r="G148" s="17" t="n">
        <v>52</v>
      </c>
      <c r="H148" s="17" t="n">
        <v>51</v>
      </c>
      <c r="I148" s="17" t="n">
        <v>10</v>
      </c>
      <c r="J148" s="17" t="n">
        <v>24</v>
      </c>
      <c r="K148" s="17" t="n">
        <v>50</v>
      </c>
      <c r="L148" s="17" t="n">
        <v>45</v>
      </c>
      <c r="M148" s="17" t="n">
        <v>119</v>
      </c>
    </row>
    <row r="149">
      <c r="A149" s="18" t="n">
        <v>1418339</v>
      </c>
      <c r="B149" s="18" t="inlineStr">
        <is>
          <t>121</t>
        </is>
      </c>
      <c r="C149" s="18" t="inlineStr">
        <is>
          <t>H</t>
        </is>
      </c>
      <c r="D149" s="18" t="inlineStr">
        <is>
          <t>01</t>
        </is>
      </c>
      <c r="E149" s="19" t="inlineStr">
        <is>
          <t>Assisi Toastmasters</t>
        </is>
      </c>
      <c r="F149" s="18" t="inlineStr">
        <is>
          <t>Active</t>
        </is>
      </c>
      <c r="G149" s="20" t="n">
        <v>20</v>
      </c>
      <c r="H149" s="20" t="n">
        <v>20</v>
      </c>
      <c r="I149" s="20" t="n">
        <v>9</v>
      </c>
      <c r="J149" s="20" t="n">
        <v>5</v>
      </c>
      <c r="K149" s="20" t="n">
        <v>16</v>
      </c>
      <c r="L149" s="20" t="n">
        <v>16</v>
      </c>
      <c r="M149" s="20" t="n">
        <v>37</v>
      </c>
    </row>
    <row r="150">
      <c r="A150" s="15" t="n">
        <v>4936848</v>
      </c>
      <c r="B150" s="15" t="inlineStr">
        <is>
          <t>121</t>
        </is>
      </c>
      <c r="C150" s="15" t="inlineStr">
        <is>
          <t>H</t>
        </is>
      </c>
      <c r="D150" s="15" t="inlineStr">
        <is>
          <t>01</t>
        </is>
      </c>
      <c r="E150" s="16" t="inlineStr">
        <is>
          <t>Special Zone Toastmasters</t>
        </is>
      </c>
      <c r="F150" s="15" t="inlineStr">
        <is>
          <t>Active</t>
        </is>
      </c>
      <c r="G150" s="17" t="n">
        <v>16</v>
      </c>
      <c r="H150" s="17" t="n">
        <v>13</v>
      </c>
      <c r="I150" s="17" t="n">
        <v>5</v>
      </c>
      <c r="J150" s="17" t="n">
        <v>1</v>
      </c>
      <c r="K150" s="17" t="n">
        <v>13</v>
      </c>
      <c r="L150" s="17" t="n">
        <v>12</v>
      </c>
      <c r="M150" s="17" t="n">
        <v>26</v>
      </c>
    </row>
    <row r="151">
      <c r="A151" s="18" t="n">
        <v>5409237</v>
      </c>
      <c r="B151" s="18" t="inlineStr">
        <is>
          <t>121</t>
        </is>
      </c>
      <c r="C151" s="18" t="inlineStr">
        <is>
          <t>H</t>
        </is>
      </c>
      <c r="D151" s="18" t="inlineStr">
        <is>
          <t>01</t>
        </is>
      </c>
      <c r="E151" s="19" t="inlineStr">
        <is>
          <t>Spicy Toastmasters</t>
        </is>
      </c>
      <c r="F151" s="18" t="inlineStr">
        <is>
          <t>Active</t>
        </is>
      </c>
      <c r="G151" s="20" t="n">
        <v>19</v>
      </c>
      <c r="H151" s="20" t="n">
        <v>12</v>
      </c>
      <c r="I151" s="20" t="n">
        <v>1</v>
      </c>
      <c r="J151" s="20" t="n">
        <v>1</v>
      </c>
      <c r="K151" s="20" t="n">
        <v>17</v>
      </c>
      <c r="L151" s="20" t="n">
        <v>11</v>
      </c>
      <c r="M151" s="20" t="n">
        <v>29</v>
      </c>
    </row>
    <row r="152">
      <c r="A152" s="15" t="n">
        <v>28675794</v>
      </c>
      <c r="B152" s="15" t="inlineStr">
        <is>
          <t>121</t>
        </is>
      </c>
      <c r="C152" s="15" t="inlineStr">
        <is>
          <t>H</t>
        </is>
      </c>
      <c r="D152" s="15" t="inlineStr">
        <is>
          <t>01</t>
        </is>
      </c>
      <c r="E152" s="16" t="inlineStr">
        <is>
          <t>Toastmasters of MITS</t>
        </is>
      </c>
      <c r="F152" s="15" t="inlineStr">
        <is>
          <t>Suspended</t>
        </is>
      </c>
      <c r="G152" s="17" t="n">
        <v>11</v>
      </c>
      <c r="H152" s="17" t="n">
        <v>0</v>
      </c>
      <c r="I152" s="17" t="n">
        <v>2</v>
      </c>
      <c r="J152" s="17" t="n">
        <v>0</v>
      </c>
      <c r="K152" s="17" t="n">
        <v>0</v>
      </c>
      <c r="L152" s="17" t="n">
        <v>0</v>
      </c>
      <c r="M152" s="17" t="n">
        <v>0</v>
      </c>
    </row>
    <row r="153">
      <c r="A153" s="18" t="n">
        <v>1376605</v>
      </c>
      <c r="B153" s="18" t="inlineStr">
        <is>
          <t>121</t>
        </is>
      </c>
      <c r="C153" s="18" t="inlineStr">
        <is>
          <t>H</t>
        </is>
      </c>
      <c r="D153" s="18" t="inlineStr">
        <is>
          <t>02</t>
        </is>
      </c>
      <c r="E153" s="19" t="inlineStr">
        <is>
          <t>Travancore Toastmasters Club</t>
        </is>
      </c>
      <c r="F153" s="18" t="inlineStr">
        <is>
          <t>Active</t>
        </is>
      </c>
      <c r="G153" s="20" t="n">
        <v>25</v>
      </c>
      <c r="H153" s="20" t="n">
        <v>25</v>
      </c>
      <c r="I153" s="20" t="n">
        <v>10</v>
      </c>
      <c r="J153" s="20" t="n">
        <v>9</v>
      </c>
      <c r="K153" s="20" t="n">
        <v>27</v>
      </c>
      <c r="L153" s="20" t="n">
        <v>24</v>
      </c>
      <c r="M153" s="20" t="n">
        <v>60</v>
      </c>
    </row>
    <row r="154">
      <c r="A154" s="15" t="n">
        <v>1379339</v>
      </c>
      <c r="B154" s="15" t="inlineStr">
        <is>
          <t>121</t>
        </is>
      </c>
      <c r="C154" s="15" t="inlineStr">
        <is>
          <t>H</t>
        </is>
      </c>
      <c r="D154" s="15" t="inlineStr">
        <is>
          <t>02</t>
        </is>
      </c>
      <c r="E154" s="16" t="inlineStr">
        <is>
          <t>TCS Maitree Toastmasters Club: Kochi</t>
        </is>
      </c>
      <c r="F154" s="15" t="inlineStr">
        <is>
          <t>Active</t>
        </is>
      </c>
      <c r="G154" s="17" t="n">
        <v>20</v>
      </c>
      <c r="H154" s="17" t="n">
        <v>20</v>
      </c>
      <c r="I154" s="17" t="n">
        <v>10</v>
      </c>
      <c r="J154" s="17" t="n">
        <v>17</v>
      </c>
      <c r="K154" s="17" t="n">
        <v>14</v>
      </c>
      <c r="L154" s="17" t="n">
        <v>11</v>
      </c>
      <c r="M154" s="17" t="n">
        <v>42</v>
      </c>
    </row>
    <row r="155">
      <c r="A155" s="18" t="n">
        <v>5342790</v>
      </c>
      <c r="B155" s="18" t="inlineStr">
        <is>
          <t>121</t>
        </is>
      </c>
      <c r="C155" s="18" t="inlineStr">
        <is>
          <t>H</t>
        </is>
      </c>
      <c r="D155" s="18" t="inlineStr">
        <is>
          <t>02</t>
        </is>
      </c>
      <c r="E155" s="19" t="inlineStr">
        <is>
          <t>Tripunithura Toastmasters</t>
        </is>
      </c>
      <c r="F155" s="18" t="inlineStr">
        <is>
          <t>Active</t>
        </is>
      </c>
      <c r="G155" s="20" t="n">
        <v>11</v>
      </c>
      <c r="H155" s="20" t="n">
        <v>8</v>
      </c>
      <c r="I155" s="20" t="n">
        <v>2</v>
      </c>
      <c r="J155" s="20" t="n">
        <v>4</v>
      </c>
      <c r="K155" s="20" t="n">
        <v>8</v>
      </c>
      <c r="L155" s="20" t="n">
        <v>7</v>
      </c>
      <c r="M155" s="20" t="n">
        <v>19</v>
      </c>
    </row>
    <row r="156">
      <c r="A156" s="15" t="n">
        <v>28677516</v>
      </c>
      <c r="B156" s="15" t="inlineStr">
        <is>
          <t>121</t>
        </is>
      </c>
      <c r="C156" s="15" t="inlineStr">
        <is>
          <t>H</t>
        </is>
      </c>
      <c r="D156" s="15" t="inlineStr">
        <is>
          <t>02</t>
        </is>
      </c>
      <c r="E156" s="16" t="inlineStr">
        <is>
          <t>V Guard Toastmasters Club</t>
        </is>
      </c>
      <c r="F156" s="15" t="inlineStr">
        <is>
          <t>Suspended</t>
        </is>
      </c>
      <c r="G156" s="17" t="n">
        <v>11</v>
      </c>
      <c r="H156" s="17" t="n">
        <v>0</v>
      </c>
      <c r="I156" s="17" t="n">
        <v>0</v>
      </c>
      <c r="J156" s="17" t="n">
        <v>0</v>
      </c>
      <c r="K156" s="17" t="n">
        <v>2</v>
      </c>
      <c r="L156" s="17" t="n">
        <v>0</v>
      </c>
      <c r="M156" s="17" t="n">
        <v>2</v>
      </c>
    </row>
    <row r="157">
      <c r="A157" s="18" t="n">
        <v>28678681</v>
      </c>
      <c r="B157" s="18" t="inlineStr">
        <is>
          <t>121</t>
        </is>
      </c>
      <c r="C157" s="18" t="inlineStr">
        <is>
          <t>H</t>
        </is>
      </c>
      <c r="D157" s="18" t="inlineStr">
        <is>
          <t>02</t>
        </is>
      </c>
      <c r="E157" s="19" t="inlineStr">
        <is>
          <t>IBS Software Cochin Toastmasters</t>
        </is>
      </c>
      <c r="F157" s="18" t="inlineStr">
        <is>
          <t>Active</t>
        </is>
      </c>
      <c r="G157" s="20" t="n">
        <v>49</v>
      </c>
      <c r="H157" s="20" t="n">
        <v>21</v>
      </c>
      <c r="I157" s="20" t="n">
        <v>8</v>
      </c>
      <c r="J157" s="20" t="n">
        <v>8</v>
      </c>
      <c r="K157" s="20" t="n">
        <v>30</v>
      </c>
      <c r="L157" s="20" t="n">
        <v>21</v>
      </c>
      <c r="M157" s="20" t="n">
        <v>59</v>
      </c>
    </row>
    <row r="158">
      <c r="A158" s="15" t="n">
        <v>3903550</v>
      </c>
      <c r="B158" s="15" t="inlineStr">
        <is>
          <t>121</t>
        </is>
      </c>
      <c r="C158" s="15" t="inlineStr">
        <is>
          <t>H</t>
        </is>
      </c>
      <c r="D158" s="15" t="inlineStr">
        <is>
          <t>03</t>
        </is>
      </c>
      <c r="E158" s="16" t="inlineStr">
        <is>
          <t>Smartcity Toastmasters</t>
        </is>
      </c>
      <c r="F158" s="15" t="inlineStr">
        <is>
          <t>Active</t>
        </is>
      </c>
      <c r="G158" s="17" t="n">
        <v>8</v>
      </c>
      <c r="H158" s="17" t="n">
        <v>8</v>
      </c>
      <c r="I158" s="17" t="n">
        <v>2</v>
      </c>
      <c r="J158" s="17" t="n">
        <v>1</v>
      </c>
      <c r="K158" s="17" t="n">
        <v>7</v>
      </c>
      <c r="L158" s="17" t="n">
        <v>8</v>
      </c>
      <c r="M158" s="17" t="n">
        <v>16</v>
      </c>
    </row>
    <row r="159">
      <c r="A159" s="18" t="n">
        <v>4270664</v>
      </c>
      <c r="B159" s="18" t="inlineStr">
        <is>
          <t>121</t>
        </is>
      </c>
      <c r="C159" s="18" t="inlineStr">
        <is>
          <t>H</t>
        </is>
      </c>
      <c r="D159" s="18" t="inlineStr">
        <is>
          <t>03</t>
        </is>
      </c>
      <c r="E159" s="19" t="inlineStr">
        <is>
          <t>Hubbell India Cochin</t>
        </is>
      </c>
      <c r="F159" s="18" t="inlineStr">
        <is>
          <t>Ineligible</t>
        </is>
      </c>
      <c r="G159" s="20" t="n">
        <v>20</v>
      </c>
      <c r="H159" s="20" t="n">
        <v>0</v>
      </c>
      <c r="I159" s="20" t="n">
        <v>1</v>
      </c>
      <c r="J159" s="20" t="n">
        <v>0</v>
      </c>
      <c r="K159" s="20" t="n">
        <v>20</v>
      </c>
      <c r="L159" s="20" t="n">
        <v>0</v>
      </c>
      <c r="M159" s="20" t="n">
        <v>20</v>
      </c>
    </row>
    <row r="160">
      <c r="A160" s="15" t="n">
        <v>5025457</v>
      </c>
      <c r="B160" s="15" t="inlineStr">
        <is>
          <t>121</t>
        </is>
      </c>
      <c r="C160" s="15" t="inlineStr">
        <is>
          <t>H</t>
        </is>
      </c>
      <c r="D160" s="15" t="inlineStr">
        <is>
          <t>03</t>
        </is>
      </c>
      <c r="E160" s="16" t="inlineStr">
        <is>
          <t>Advanced Toastmasters of Kerala</t>
        </is>
      </c>
      <c r="F160" s="15" t="inlineStr">
        <is>
          <t>Active</t>
        </is>
      </c>
      <c r="G160" s="17" t="n">
        <v>28</v>
      </c>
      <c r="H160" s="17" t="n">
        <v>28</v>
      </c>
      <c r="I160" s="17" t="n">
        <v>10</v>
      </c>
      <c r="J160" s="17" t="n">
        <v>13</v>
      </c>
      <c r="K160" s="17" t="n">
        <v>25</v>
      </c>
      <c r="L160" s="17" t="n">
        <v>25</v>
      </c>
      <c r="M160" s="17" t="n">
        <v>63</v>
      </c>
    </row>
    <row r="161">
      <c r="A161" s="18" t="n">
        <v>7772212</v>
      </c>
      <c r="B161" s="18" t="inlineStr">
        <is>
          <t>121</t>
        </is>
      </c>
      <c r="C161" s="18" t="inlineStr">
        <is>
          <t>H</t>
        </is>
      </c>
      <c r="D161" s="18" t="inlineStr">
        <is>
          <t>03</t>
        </is>
      </c>
      <c r="E161" s="19" t="inlineStr">
        <is>
          <t>Wipro Kochi Toastmasters Club</t>
        </is>
      </c>
      <c r="F161" s="18" t="inlineStr">
        <is>
          <t>Active</t>
        </is>
      </c>
      <c r="G161" s="20" t="n">
        <v>15</v>
      </c>
      <c r="H161" s="20" t="n">
        <v>14</v>
      </c>
      <c r="I161" s="20" t="n">
        <v>9</v>
      </c>
      <c r="J161" s="20" t="n">
        <v>5</v>
      </c>
      <c r="K161" s="20" t="n">
        <v>17</v>
      </c>
      <c r="L161" s="20" t="n">
        <v>14</v>
      </c>
      <c r="M161" s="20" t="n">
        <v>36</v>
      </c>
    </row>
    <row r="162">
      <c r="A162" s="15" t="n">
        <v>28678592</v>
      </c>
      <c r="B162" s="15" t="inlineStr">
        <is>
          <t>121</t>
        </is>
      </c>
      <c r="C162" s="15" t="inlineStr">
        <is>
          <t>H</t>
        </is>
      </c>
      <c r="D162" s="15" t="inlineStr">
        <is>
          <t>03</t>
        </is>
      </c>
      <c r="E162" s="16" t="inlineStr">
        <is>
          <t>Orion Orators</t>
        </is>
      </c>
      <c r="F162" s="15" t="inlineStr">
        <is>
          <t>Active</t>
        </is>
      </c>
      <c r="G162" s="17" t="n">
        <v>23</v>
      </c>
      <c r="H162" s="17" t="n">
        <v>36</v>
      </c>
      <c r="I162" s="17" t="n">
        <v>5</v>
      </c>
      <c r="J162" s="17" t="n">
        <v>35</v>
      </c>
      <c r="K162" s="17" t="n">
        <v>12</v>
      </c>
      <c r="L162" s="17" t="n">
        <v>14</v>
      </c>
      <c r="M162" s="17" t="n">
        <v>61</v>
      </c>
    </row>
    <row r="163">
      <c r="A163" s="18" t="n">
        <v>6048274</v>
      </c>
      <c r="B163" s="18" t="inlineStr">
        <is>
          <t>121</t>
        </is>
      </c>
      <c r="C163" s="18" t="inlineStr">
        <is>
          <t>H</t>
        </is>
      </c>
      <c r="D163" s="18" t="inlineStr">
        <is>
          <t>04</t>
        </is>
      </c>
      <c r="E163" s="19" t="inlineStr">
        <is>
          <t>Mathrumalayalam Toastmasters Club</t>
        </is>
      </c>
      <c r="F163" s="18" t="inlineStr">
        <is>
          <t>Active</t>
        </is>
      </c>
      <c r="G163" s="20" t="n">
        <v>20</v>
      </c>
      <c r="H163" s="20" t="n">
        <v>18</v>
      </c>
      <c r="I163" s="20" t="n">
        <v>7</v>
      </c>
      <c r="J163" s="20" t="n">
        <v>6</v>
      </c>
      <c r="K163" s="20" t="n">
        <v>16</v>
      </c>
      <c r="L163" s="20" t="n">
        <v>18</v>
      </c>
      <c r="M163" s="20" t="n">
        <v>40</v>
      </c>
    </row>
    <row r="164">
      <c r="A164" s="15" t="n">
        <v>7632625</v>
      </c>
      <c r="B164" s="15" t="inlineStr">
        <is>
          <t>121</t>
        </is>
      </c>
      <c r="C164" s="15" t="inlineStr">
        <is>
          <t>H</t>
        </is>
      </c>
      <c r="D164" s="15" t="inlineStr">
        <is>
          <t>04</t>
        </is>
      </c>
      <c r="E164" s="16" t="inlineStr">
        <is>
          <t>Kottayam Toastmasters Club</t>
        </is>
      </c>
      <c r="F164" s="15" t="inlineStr">
        <is>
          <t>Active</t>
        </is>
      </c>
      <c r="G164" s="17" t="n">
        <v>14</v>
      </c>
      <c r="H164" s="17" t="n">
        <v>15</v>
      </c>
      <c r="I164" s="17" t="n">
        <v>6</v>
      </c>
      <c r="J164" s="17" t="n">
        <v>8</v>
      </c>
      <c r="K164" s="17" t="n">
        <v>13</v>
      </c>
      <c r="L164" s="17" t="n">
        <v>10</v>
      </c>
      <c r="M164" s="17" t="n">
        <v>31</v>
      </c>
    </row>
    <row r="165">
      <c r="A165" s="18" t="n">
        <v>7904546</v>
      </c>
      <c r="B165" s="18" t="inlineStr">
        <is>
          <t>121</t>
        </is>
      </c>
      <c r="C165" s="18" t="inlineStr">
        <is>
          <t>H</t>
        </is>
      </c>
      <c r="D165" s="18" t="inlineStr">
        <is>
          <t>04</t>
        </is>
      </c>
      <c r="E165" s="19" t="inlineStr">
        <is>
          <t>Eloquent Champs Toastmasters Club</t>
        </is>
      </c>
      <c r="F165" s="18" t="inlineStr">
        <is>
          <t>Active</t>
        </is>
      </c>
      <c r="G165" s="20" t="n">
        <v>12</v>
      </c>
      <c r="H165" s="20" t="n">
        <v>15</v>
      </c>
      <c r="I165" s="20" t="n">
        <v>5</v>
      </c>
      <c r="J165" s="20" t="n">
        <v>7</v>
      </c>
      <c r="K165" s="20" t="n">
        <v>11</v>
      </c>
      <c r="L165" s="20" t="n">
        <v>11</v>
      </c>
      <c r="M165" s="20" t="n">
        <v>29</v>
      </c>
    </row>
    <row r="166">
      <c r="A166" s="15" t="n">
        <v>28677133</v>
      </c>
      <c r="B166" s="15" t="inlineStr">
        <is>
          <t>121</t>
        </is>
      </c>
      <c r="C166" s="15" t="inlineStr">
        <is>
          <t>H</t>
        </is>
      </c>
      <c r="D166" s="15" t="inlineStr">
        <is>
          <t>04</t>
        </is>
      </c>
      <c r="E166" s="16" t="inlineStr">
        <is>
          <t>Thodupuzha Toastmasters Club</t>
        </is>
      </c>
      <c r="F166" s="15" t="inlineStr">
        <is>
          <t>Active</t>
        </is>
      </c>
      <c r="G166" s="17" t="n">
        <v>11</v>
      </c>
      <c r="H166" s="17" t="n">
        <v>14</v>
      </c>
      <c r="I166" s="17" t="n">
        <v>7</v>
      </c>
      <c r="J166" s="17" t="n">
        <v>7</v>
      </c>
      <c r="K166" s="17" t="n">
        <v>8</v>
      </c>
      <c r="L166" s="17" t="n">
        <v>8</v>
      </c>
      <c r="M166" s="17" t="n">
        <v>23</v>
      </c>
    </row>
    <row r="167">
      <c r="A167" s="18" t="n">
        <v>1522721</v>
      </c>
      <c r="B167" s="18" t="inlineStr">
        <is>
          <t>121</t>
        </is>
      </c>
      <c r="C167" s="18" t="inlineStr">
        <is>
          <t>H</t>
        </is>
      </c>
      <c r="D167" s="18" t="inlineStr">
        <is>
          <t>05</t>
        </is>
      </c>
      <c r="E167" s="19" t="inlineStr">
        <is>
          <t>Kerala Toastmasters</t>
        </is>
      </c>
      <c r="F167" s="18" t="inlineStr">
        <is>
          <t>Ineligible</t>
        </is>
      </c>
      <c r="G167" s="20" t="n">
        <v>8</v>
      </c>
      <c r="H167" s="20" t="n">
        <v>0</v>
      </c>
      <c r="I167" s="20" t="n">
        <v>1</v>
      </c>
      <c r="J167" s="20" t="n">
        <v>6</v>
      </c>
      <c r="K167" s="20" t="n">
        <v>3</v>
      </c>
      <c r="L167" s="20" t="n">
        <v>0</v>
      </c>
      <c r="M167" s="20" t="n">
        <v>9</v>
      </c>
    </row>
    <row r="168">
      <c r="A168" s="15" t="n">
        <v>1593046</v>
      </c>
      <c r="B168" s="15" t="inlineStr">
        <is>
          <t>121</t>
        </is>
      </c>
      <c r="C168" s="15" t="inlineStr">
        <is>
          <t>H</t>
        </is>
      </c>
      <c r="D168" s="15" t="inlineStr">
        <is>
          <t>05</t>
        </is>
      </c>
      <c r="E168" s="16" t="inlineStr">
        <is>
          <t>Chartered Toast Masters</t>
        </is>
      </c>
      <c r="F168" s="15" t="inlineStr">
        <is>
          <t>Active</t>
        </is>
      </c>
      <c r="G168" s="17" t="n">
        <v>21</v>
      </c>
      <c r="H168" s="17" t="n">
        <v>17</v>
      </c>
      <c r="I168" s="17" t="n">
        <v>4</v>
      </c>
      <c r="J168" s="17" t="n">
        <v>8</v>
      </c>
      <c r="K168" s="17" t="n">
        <v>12</v>
      </c>
      <c r="L168" s="17" t="n">
        <v>11</v>
      </c>
      <c r="M168" s="17" t="n">
        <v>31</v>
      </c>
    </row>
    <row r="169">
      <c r="A169" s="18" t="n">
        <v>1669119</v>
      </c>
      <c r="B169" s="18" t="inlineStr">
        <is>
          <t>121</t>
        </is>
      </c>
      <c r="C169" s="18" t="inlineStr">
        <is>
          <t>H</t>
        </is>
      </c>
      <c r="D169" s="18" t="inlineStr">
        <is>
          <t>05</t>
        </is>
      </c>
      <c r="E169" s="19" t="inlineStr">
        <is>
          <t>Refinian Toastmasters Club</t>
        </is>
      </c>
      <c r="F169" s="18" t="inlineStr">
        <is>
          <t>Low</t>
        </is>
      </c>
      <c r="G169" s="20" t="n">
        <v>8</v>
      </c>
      <c r="H169" s="20" t="n">
        <v>4</v>
      </c>
      <c r="I169" s="20" t="n">
        <v>2</v>
      </c>
      <c r="J169" s="20" t="n">
        <v>7</v>
      </c>
      <c r="K169" s="20" t="n">
        <v>9</v>
      </c>
      <c r="L169" s="20" t="n">
        <v>4</v>
      </c>
      <c r="M169" s="20" t="n">
        <v>20</v>
      </c>
    </row>
    <row r="170">
      <c r="A170" s="15" t="n">
        <v>7679326</v>
      </c>
      <c r="B170" s="15" t="inlineStr">
        <is>
          <t>121</t>
        </is>
      </c>
      <c r="C170" s="15" t="inlineStr">
        <is>
          <t>H</t>
        </is>
      </c>
      <c r="D170" s="15" t="inlineStr">
        <is>
          <t>05</t>
        </is>
      </c>
      <c r="E170" s="16" t="inlineStr">
        <is>
          <t>Litmus7 Kochi Toastmasters Club</t>
        </is>
      </c>
      <c r="F170" s="15" t="inlineStr">
        <is>
          <t>Active</t>
        </is>
      </c>
      <c r="G170" s="17" t="n">
        <v>23</v>
      </c>
      <c r="H170" s="17" t="n">
        <v>21</v>
      </c>
      <c r="I170" s="17" t="n">
        <v>7</v>
      </c>
      <c r="J170" s="17" t="n">
        <v>14</v>
      </c>
      <c r="K170" s="17" t="n">
        <v>13</v>
      </c>
      <c r="L170" s="17" t="n">
        <v>12</v>
      </c>
      <c r="M170" s="17" t="n">
        <v>39</v>
      </c>
    </row>
    <row r="171">
      <c r="A171" s="18" t="n">
        <v>7980410</v>
      </c>
      <c r="B171" s="18" t="inlineStr">
        <is>
          <t>121</t>
        </is>
      </c>
      <c r="C171" s="18" t="inlineStr">
        <is>
          <t>H</t>
        </is>
      </c>
      <c r="D171" s="18" t="inlineStr">
        <is>
          <t>05</t>
        </is>
      </c>
      <c r="E171" s="19" t="inlineStr">
        <is>
          <t>Queen City Toastmasters</t>
        </is>
      </c>
      <c r="F171" s="18" t="inlineStr">
        <is>
          <t>Active</t>
        </is>
      </c>
      <c r="G171" s="20" t="n">
        <v>20</v>
      </c>
      <c r="H171" s="20" t="n">
        <v>20</v>
      </c>
      <c r="I171" s="20" t="n">
        <v>8</v>
      </c>
      <c r="J171" s="20" t="n">
        <v>9</v>
      </c>
      <c r="K171" s="20" t="n">
        <v>19</v>
      </c>
      <c r="L171" s="20" t="n">
        <v>16</v>
      </c>
      <c r="M171" s="20" t="n">
        <v>44</v>
      </c>
    </row>
    <row r="172">
      <c r="A172" s="15" t="n">
        <v>9688</v>
      </c>
      <c r="B172" s="15" t="inlineStr">
        <is>
          <t>121</t>
        </is>
      </c>
      <c r="C172" s="15" t="inlineStr">
        <is>
          <t>I</t>
        </is>
      </c>
      <c r="D172" s="15" t="inlineStr">
        <is>
          <t>01</t>
        </is>
      </c>
      <c r="E172" s="16" t="inlineStr">
        <is>
          <t>Infosys Toastmasters, Bangalore</t>
        </is>
      </c>
      <c r="F172" s="15" t="inlineStr">
        <is>
          <t>Active</t>
        </is>
      </c>
      <c r="G172" s="17" t="n">
        <v>21</v>
      </c>
      <c r="H172" s="17" t="n">
        <v>25</v>
      </c>
      <c r="I172" s="17" t="n">
        <v>10</v>
      </c>
      <c r="J172" s="17" t="n">
        <v>30</v>
      </c>
      <c r="K172" s="17" t="n">
        <v>10</v>
      </c>
      <c r="L172" s="17" t="n">
        <v>14</v>
      </c>
      <c r="M172" s="17" t="n">
        <v>54</v>
      </c>
    </row>
    <row r="173">
      <c r="A173" s="18" t="n">
        <v>2104976</v>
      </c>
      <c r="B173" s="18" t="inlineStr">
        <is>
          <t>121</t>
        </is>
      </c>
      <c r="C173" s="18" t="inlineStr">
        <is>
          <t>I</t>
        </is>
      </c>
      <c r="D173" s="18" t="inlineStr">
        <is>
          <t>01</t>
        </is>
      </c>
      <c r="E173" s="19" t="inlineStr">
        <is>
          <t>SIBM Bengaluru Toastmasters Club</t>
        </is>
      </c>
      <c r="F173" s="18" t="inlineStr">
        <is>
          <t>Suspended</t>
        </is>
      </c>
      <c r="G173" s="20" t="n">
        <v>16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</row>
    <row r="174">
      <c r="A174" s="15" t="n">
        <v>7641558</v>
      </c>
      <c r="B174" s="15" t="inlineStr">
        <is>
          <t>121</t>
        </is>
      </c>
      <c r="C174" s="15" t="inlineStr">
        <is>
          <t>I</t>
        </is>
      </c>
      <c r="D174" s="15" t="inlineStr">
        <is>
          <t>01</t>
        </is>
      </c>
      <c r="E174" s="16" t="inlineStr">
        <is>
          <t>Toast and Tales Toastmasters Club</t>
        </is>
      </c>
      <c r="F174" s="15" t="inlineStr">
        <is>
          <t>Active</t>
        </is>
      </c>
      <c r="G174" s="17" t="n">
        <v>27</v>
      </c>
      <c r="H174" s="17" t="n">
        <v>26</v>
      </c>
      <c r="I174" s="17" t="n">
        <v>10</v>
      </c>
      <c r="J174" s="17" t="n">
        <v>20</v>
      </c>
      <c r="K174" s="17" t="n">
        <v>23</v>
      </c>
      <c r="L174" s="17" t="n">
        <v>18</v>
      </c>
      <c r="M174" s="17" t="n">
        <v>61</v>
      </c>
    </row>
    <row r="175">
      <c r="A175" s="18" t="n">
        <v>28677529</v>
      </c>
      <c r="B175" s="18" t="inlineStr">
        <is>
          <t>121</t>
        </is>
      </c>
      <c r="C175" s="18" t="inlineStr">
        <is>
          <t>I</t>
        </is>
      </c>
      <c r="D175" s="18" t="inlineStr">
        <is>
          <t>01</t>
        </is>
      </c>
      <c r="E175" s="19" t="inlineStr">
        <is>
          <t>HPE Element Toastmasters</t>
        </is>
      </c>
      <c r="F175" s="18" t="inlineStr">
        <is>
          <t>Active</t>
        </is>
      </c>
      <c r="G175" s="20" t="n">
        <v>32</v>
      </c>
      <c r="H175" s="20" t="n">
        <v>45</v>
      </c>
      <c r="I175" s="20" t="n">
        <v>10</v>
      </c>
      <c r="J175" s="20" t="n">
        <v>37</v>
      </c>
      <c r="K175" s="20" t="n">
        <v>23</v>
      </c>
      <c r="L175" s="20" t="n">
        <v>31</v>
      </c>
      <c r="M175" s="20" t="n">
        <v>91</v>
      </c>
    </row>
    <row r="176">
      <c r="A176" s="15" t="n">
        <v>28679397</v>
      </c>
      <c r="B176" s="15" t="inlineStr">
        <is>
          <t>121</t>
        </is>
      </c>
      <c r="C176" s="15" t="inlineStr">
        <is>
          <t>I</t>
        </is>
      </c>
      <c r="D176" s="15" t="inlineStr">
        <is>
          <t>01</t>
        </is>
      </c>
      <c r="E176" s="16" t="inlineStr">
        <is>
          <t>TechM Bengaluru Toastmasters Club</t>
        </is>
      </c>
      <c r="F176" s="15" t="inlineStr">
        <is>
          <t>Active</t>
        </is>
      </c>
      <c r="G176" s="17" t="n">
        <v>20</v>
      </c>
      <c r="H176" s="17" t="n">
        <v>9</v>
      </c>
      <c r="I176" s="17" t="n">
        <v>3</v>
      </c>
      <c r="J176" s="17" t="n">
        <v>3</v>
      </c>
      <c r="K176" s="17" t="n">
        <v>0</v>
      </c>
      <c r="L176" s="17" t="n">
        <v>8</v>
      </c>
      <c r="M176" s="17" t="n">
        <v>29</v>
      </c>
    </row>
    <row r="177">
      <c r="A177" s="18" t="n">
        <v>3674956</v>
      </c>
      <c r="B177" s="18" t="inlineStr">
        <is>
          <t>121</t>
        </is>
      </c>
      <c r="C177" s="18" t="inlineStr">
        <is>
          <t>I</t>
        </is>
      </c>
      <c r="D177" s="18" t="inlineStr">
        <is>
          <t>02</t>
        </is>
      </c>
      <c r="E177" s="19" t="inlineStr">
        <is>
          <t>CGI Elite Speakers Forum</t>
        </is>
      </c>
      <c r="F177" s="18" t="inlineStr">
        <is>
          <t>Active</t>
        </is>
      </c>
      <c r="G177" s="20" t="n">
        <v>24</v>
      </c>
      <c r="H177" s="20" t="n">
        <v>20</v>
      </c>
      <c r="I177" s="20" t="n">
        <v>6</v>
      </c>
      <c r="J177" s="20" t="n">
        <v>21</v>
      </c>
      <c r="K177" s="20" t="n">
        <v>15</v>
      </c>
      <c r="L177" s="20" t="n">
        <v>16</v>
      </c>
      <c r="M177" s="20" t="n">
        <v>52</v>
      </c>
    </row>
    <row r="178">
      <c r="A178" s="15" t="n">
        <v>4304110</v>
      </c>
      <c r="B178" s="15" t="inlineStr">
        <is>
          <t>121</t>
        </is>
      </c>
      <c r="C178" s="15" t="inlineStr">
        <is>
          <t>I</t>
        </is>
      </c>
      <c r="D178" s="15" t="inlineStr">
        <is>
          <t>02</t>
        </is>
      </c>
      <c r="E178" s="16" t="inlineStr">
        <is>
          <t>Siemens Bangalore Toastmasters Club</t>
        </is>
      </c>
      <c r="F178" s="15" t="inlineStr">
        <is>
          <t>Active</t>
        </is>
      </c>
      <c r="G178" s="17" t="n">
        <v>23</v>
      </c>
      <c r="H178" s="17" t="n">
        <v>23</v>
      </c>
      <c r="I178" s="17" t="n">
        <v>9</v>
      </c>
      <c r="J178" s="17" t="n">
        <v>16</v>
      </c>
      <c r="K178" s="17" t="n">
        <v>20</v>
      </c>
      <c r="L178" s="17" t="n">
        <v>17</v>
      </c>
      <c r="M178" s="17" t="n">
        <v>53</v>
      </c>
    </row>
    <row r="179">
      <c r="A179" s="18" t="n">
        <v>5185978</v>
      </c>
      <c r="B179" s="18" t="inlineStr">
        <is>
          <t>121</t>
        </is>
      </c>
      <c r="C179" s="18" t="inlineStr">
        <is>
          <t>I</t>
        </is>
      </c>
      <c r="D179" s="18" t="inlineStr">
        <is>
          <t>02</t>
        </is>
      </c>
      <c r="E179" s="19" t="inlineStr">
        <is>
          <t>Electronics City Toastmasters Club</t>
        </is>
      </c>
      <c r="F179" s="18" t="inlineStr">
        <is>
          <t>Active</t>
        </is>
      </c>
      <c r="G179" s="20" t="n">
        <v>31</v>
      </c>
      <c r="H179" s="20" t="n">
        <v>44</v>
      </c>
      <c r="I179" s="20" t="n">
        <v>10</v>
      </c>
      <c r="J179" s="20" t="n">
        <v>20</v>
      </c>
      <c r="K179" s="20" t="n">
        <v>33</v>
      </c>
      <c r="L179" s="20" t="n">
        <v>42</v>
      </c>
      <c r="M179" s="20" t="n">
        <v>95</v>
      </c>
    </row>
    <row r="180">
      <c r="A180" s="15" t="n">
        <v>6920786</v>
      </c>
      <c r="B180" s="15" t="inlineStr">
        <is>
          <t>121</t>
        </is>
      </c>
      <c r="C180" s="15" t="inlineStr">
        <is>
          <t>I</t>
        </is>
      </c>
      <c r="D180" s="15" t="inlineStr">
        <is>
          <t>02</t>
        </is>
      </c>
      <c r="E180" s="16" t="inlineStr">
        <is>
          <t>Merck Toastmasters Club</t>
        </is>
      </c>
      <c r="F180" s="15" t="inlineStr">
        <is>
          <t>Suspended</t>
        </is>
      </c>
      <c r="G180" s="17" t="n">
        <v>8</v>
      </c>
      <c r="H180" s="17" t="n">
        <v>5</v>
      </c>
      <c r="I180" s="17" t="n">
        <v>1</v>
      </c>
      <c r="J180" s="17" t="n">
        <v>5</v>
      </c>
      <c r="K180" s="17" t="n">
        <v>3</v>
      </c>
      <c r="L180" s="17" t="n">
        <v>4</v>
      </c>
      <c r="M180" s="17" t="n">
        <v>12</v>
      </c>
    </row>
    <row r="181">
      <c r="A181" s="18" t="n">
        <v>28678701</v>
      </c>
      <c r="B181" s="18" t="inlineStr">
        <is>
          <t>121</t>
        </is>
      </c>
      <c r="C181" s="18" t="inlineStr">
        <is>
          <t>I</t>
        </is>
      </c>
      <c r="D181" s="18" t="inlineStr">
        <is>
          <t>02</t>
        </is>
      </c>
      <c r="E181" s="19" t="inlineStr">
        <is>
          <t>Tavant Speakers Club</t>
        </is>
      </c>
      <c r="F181" s="18" t="inlineStr">
        <is>
          <t>Active</t>
        </is>
      </c>
      <c r="G181" s="20" t="n">
        <v>30</v>
      </c>
      <c r="H181" s="20" t="n">
        <v>20</v>
      </c>
      <c r="I181" s="20" t="n">
        <v>5</v>
      </c>
      <c r="J181" s="20" t="n">
        <v>12</v>
      </c>
      <c r="K181" s="20" t="n">
        <v>21</v>
      </c>
      <c r="L181" s="20" t="n">
        <v>12</v>
      </c>
      <c r="M181" s="20" t="n">
        <v>45</v>
      </c>
    </row>
    <row r="182">
      <c r="A182" s="15" t="n">
        <v>28679581</v>
      </c>
      <c r="B182" s="15" t="inlineStr">
        <is>
          <t>121</t>
        </is>
      </c>
      <c r="C182" s="15" t="inlineStr">
        <is>
          <t>I</t>
        </is>
      </c>
      <c r="D182" s="15" t="inlineStr">
        <is>
          <t>02</t>
        </is>
      </c>
      <c r="E182" s="16" t="inlineStr">
        <is>
          <t>Movius Toastmasters Club</t>
        </is>
      </c>
      <c r="F182" s="15" t="inlineStr">
        <is>
          <t>Active</t>
        </is>
      </c>
      <c r="G182" s="17" t="n">
        <v>24</v>
      </c>
      <c r="H182" s="17" t="n">
        <v>24</v>
      </c>
      <c r="I182" s="17" t="n">
        <v>2</v>
      </c>
      <c r="J182" s="17" t="n">
        <v>0</v>
      </c>
      <c r="K182" s="17" t="n">
        <v>0</v>
      </c>
      <c r="L182" s="17" t="n">
        <v>24</v>
      </c>
      <c r="M182" s="17" t="n">
        <v>48</v>
      </c>
    </row>
    <row r="183">
      <c r="A183" s="18" t="n">
        <v>4958536</v>
      </c>
      <c r="B183" s="18" t="inlineStr">
        <is>
          <t>121</t>
        </is>
      </c>
      <c r="C183" s="18" t="inlineStr">
        <is>
          <t>I</t>
        </is>
      </c>
      <c r="D183" s="18" t="inlineStr">
        <is>
          <t>03</t>
        </is>
      </c>
      <c r="E183" s="19" t="inlineStr">
        <is>
          <t>DB Bangalore Toastmasters Club</t>
        </is>
      </c>
      <c r="F183" s="18" t="inlineStr">
        <is>
          <t>Active</t>
        </is>
      </c>
      <c r="G183" s="20" t="n">
        <v>8</v>
      </c>
      <c r="H183" s="20" t="n">
        <v>8</v>
      </c>
      <c r="I183" s="20" t="n">
        <v>5</v>
      </c>
      <c r="J183" s="20" t="n">
        <v>6</v>
      </c>
      <c r="K183" s="20" t="n">
        <v>11</v>
      </c>
      <c r="L183" s="20" t="n">
        <v>7</v>
      </c>
      <c r="M183" s="20" t="n">
        <v>24</v>
      </c>
    </row>
    <row r="184">
      <c r="A184" s="15" t="n">
        <v>5843852</v>
      </c>
      <c r="B184" s="15" t="inlineStr">
        <is>
          <t>121</t>
        </is>
      </c>
      <c r="C184" s="15" t="inlineStr">
        <is>
          <t>I</t>
        </is>
      </c>
      <c r="D184" s="15" t="inlineStr">
        <is>
          <t>03</t>
        </is>
      </c>
      <c r="E184" s="16" t="inlineStr">
        <is>
          <t>HSR Toastmasters Club</t>
        </is>
      </c>
      <c r="F184" s="15" t="inlineStr">
        <is>
          <t>Active</t>
        </is>
      </c>
      <c r="G184" s="17" t="n">
        <v>50</v>
      </c>
      <c r="H184" s="17" t="n">
        <v>48</v>
      </c>
      <c r="I184" s="17" t="n">
        <v>10</v>
      </c>
      <c r="J184" s="17" t="n">
        <v>18</v>
      </c>
      <c r="K184" s="17" t="n">
        <v>46</v>
      </c>
      <c r="L184" s="17" t="n">
        <v>43</v>
      </c>
      <c r="M184" s="17" t="n">
        <v>107</v>
      </c>
    </row>
    <row r="185">
      <c r="A185" s="18" t="n">
        <v>28675609</v>
      </c>
      <c r="B185" s="18" t="inlineStr">
        <is>
          <t>121</t>
        </is>
      </c>
      <c r="C185" s="18" t="inlineStr">
        <is>
          <t>I</t>
        </is>
      </c>
      <c r="D185" s="18" t="inlineStr">
        <is>
          <t>03</t>
        </is>
      </c>
      <c r="E185" s="19" t="inlineStr">
        <is>
          <t>Greenage Toastmasters Club</t>
        </is>
      </c>
      <c r="F185" s="18" t="inlineStr">
        <is>
          <t>Active</t>
        </is>
      </c>
      <c r="G185" s="20" t="n">
        <v>25</v>
      </c>
      <c r="H185" s="20" t="n">
        <v>24</v>
      </c>
      <c r="I185" s="20" t="n">
        <v>8</v>
      </c>
      <c r="J185" s="20" t="n">
        <v>10</v>
      </c>
      <c r="K185" s="20" t="n">
        <v>21</v>
      </c>
      <c r="L185" s="20" t="n">
        <v>20</v>
      </c>
      <c r="M185" s="20" t="n">
        <v>51</v>
      </c>
    </row>
    <row r="186">
      <c r="A186" s="15" t="n">
        <v>28677107</v>
      </c>
      <c r="B186" s="15" t="inlineStr">
        <is>
          <t>121</t>
        </is>
      </c>
      <c r="C186" s="15" t="inlineStr">
        <is>
          <t>I</t>
        </is>
      </c>
      <c r="D186" s="15" t="inlineStr">
        <is>
          <t>03</t>
        </is>
      </c>
      <c r="E186" s="16" t="inlineStr">
        <is>
          <t>Ascent Toastmasters Club</t>
        </is>
      </c>
      <c r="F186" s="15" t="inlineStr">
        <is>
          <t>Active</t>
        </is>
      </c>
      <c r="G186" s="17" t="n">
        <v>13</v>
      </c>
      <c r="H186" s="17" t="n">
        <v>11</v>
      </c>
      <c r="I186" s="17" t="n">
        <v>4</v>
      </c>
      <c r="J186" s="17" t="n">
        <v>8</v>
      </c>
      <c r="K186" s="17" t="n">
        <v>3</v>
      </c>
      <c r="L186" s="17" t="n">
        <v>9</v>
      </c>
      <c r="M186" s="17" t="n">
        <v>20</v>
      </c>
    </row>
    <row r="187">
      <c r="A187" s="18" t="n">
        <v>3283460</v>
      </c>
      <c r="B187" s="18" t="inlineStr">
        <is>
          <t>121</t>
        </is>
      </c>
      <c r="C187" s="18" t="inlineStr">
        <is>
          <t>I</t>
        </is>
      </c>
      <c r="D187" s="18" t="inlineStr">
        <is>
          <t>04</t>
        </is>
      </c>
      <c r="E187" s="19" t="inlineStr">
        <is>
          <t>Wipro BEATS</t>
        </is>
      </c>
      <c r="F187" s="18" t="inlineStr">
        <is>
          <t>Active</t>
        </is>
      </c>
      <c r="G187" s="20" t="n">
        <v>20</v>
      </c>
      <c r="H187" s="20" t="n">
        <v>16</v>
      </c>
      <c r="I187" s="20" t="n">
        <v>9</v>
      </c>
      <c r="J187" s="20" t="n">
        <v>11</v>
      </c>
      <c r="K187" s="20" t="n">
        <v>16</v>
      </c>
      <c r="L187" s="20" t="n">
        <v>12</v>
      </c>
      <c r="M187" s="20" t="n">
        <v>39</v>
      </c>
    </row>
    <row r="188">
      <c r="A188" s="15" t="n">
        <v>7586759</v>
      </c>
      <c r="B188" s="15" t="inlineStr">
        <is>
          <t>121</t>
        </is>
      </c>
      <c r="C188" s="15" t="inlineStr">
        <is>
          <t>I</t>
        </is>
      </c>
      <c r="D188" s="15" t="inlineStr">
        <is>
          <t>04</t>
        </is>
      </c>
      <c r="E188" s="16" t="inlineStr">
        <is>
          <t>MOOG Flyers</t>
        </is>
      </c>
      <c r="F188" s="15" t="inlineStr">
        <is>
          <t>Active</t>
        </is>
      </c>
      <c r="G188" s="17" t="n">
        <v>26</v>
      </c>
      <c r="H188" s="17" t="n">
        <v>29</v>
      </c>
      <c r="I188" s="17" t="n">
        <v>5</v>
      </c>
      <c r="J188" s="17" t="n">
        <v>12</v>
      </c>
      <c r="K188" s="17" t="n">
        <v>25</v>
      </c>
      <c r="L188" s="17" t="n">
        <v>27</v>
      </c>
      <c r="M188" s="17" t="n">
        <v>64</v>
      </c>
    </row>
    <row r="189">
      <c r="A189" s="18" t="n">
        <v>28677664</v>
      </c>
      <c r="B189" s="18" t="inlineStr">
        <is>
          <t>121</t>
        </is>
      </c>
      <c r="C189" s="18" t="inlineStr">
        <is>
          <t>I</t>
        </is>
      </c>
      <c r="D189" s="18" t="inlineStr">
        <is>
          <t>04</t>
        </is>
      </c>
      <c r="E189" s="19" t="inlineStr">
        <is>
          <t>Tessolve Toastmasters Club</t>
        </is>
      </c>
      <c r="F189" s="18" t="inlineStr">
        <is>
          <t>Active</t>
        </is>
      </c>
      <c r="G189" s="20" t="n">
        <v>11</v>
      </c>
      <c r="H189" s="20" t="n">
        <v>12</v>
      </c>
      <c r="I189" s="20" t="n">
        <v>3</v>
      </c>
      <c r="J189" s="20" t="n">
        <v>7</v>
      </c>
      <c r="K189" s="20" t="n">
        <v>9</v>
      </c>
      <c r="L189" s="20" t="n">
        <v>12</v>
      </c>
      <c r="M189" s="20" t="n">
        <v>28</v>
      </c>
    </row>
    <row r="190">
      <c r="A190" s="15" t="n">
        <v>28678026</v>
      </c>
      <c r="B190" s="15" t="inlineStr">
        <is>
          <t>121</t>
        </is>
      </c>
      <c r="C190" s="15" t="inlineStr">
        <is>
          <t>I</t>
        </is>
      </c>
      <c r="D190" s="15" t="inlineStr">
        <is>
          <t>04</t>
        </is>
      </c>
      <c r="E190" s="16" t="inlineStr">
        <is>
          <t>Brighthearts Toastmasters</t>
        </is>
      </c>
      <c r="F190" s="15" t="inlineStr">
        <is>
          <t>Active</t>
        </is>
      </c>
      <c r="G190" s="17" t="n">
        <v>39</v>
      </c>
      <c r="H190" s="17" t="n">
        <v>41</v>
      </c>
      <c r="I190" s="17" t="n">
        <v>10</v>
      </c>
      <c r="J190" s="17" t="n">
        <v>26</v>
      </c>
      <c r="K190" s="17" t="n">
        <v>41</v>
      </c>
      <c r="L190" s="17" t="n">
        <v>32</v>
      </c>
      <c r="M190" s="17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8" customWidth="1" min="3" max="3"/>
    <col width="22" customWidth="1" min="4" max="4"/>
    <col width="21" customWidth="1" min="5" max="5"/>
    <col width="23" customWidth="1" min="6" max="6"/>
    <col width="21" customWidth="1" min="7" max="7"/>
    <col width="23" customWidth="1" min="8" max="8"/>
    <col width="20" customWidth="1" min="9" max="9"/>
    <col width="19" customWidth="1" min="10" max="10"/>
    <col width="20" customWidth="1" min="11" max="11"/>
    <col width="17" customWidth="1" min="12" max="12"/>
    <col width="15" customWidth="1" min="13" max="13"/>
  </cols>
  <sheetData>
    <row r="1">
      <c r="A1" s="21" t="inlineStr">
        <is>
          <t>District 121 - Divisions Performance Rolled-up Summary</t>
        </is>
      </c>
    </row>
    <row r="2"/>
    <row r="3">
      <c r="A3" s="14" t="inlineStr">
        <is>
          <t>Division</t>
        </is>
      </c>
      <c r="B3" s="14" t="inlineStr">
        <is>
          <t>Base Clubs</t>
        </is>
      </c>
      <c r="C3" s="14" t="inlineStr">
        <is>
          <t>Active Clubs</t>
        </is>
      </c>
      <c r="D3" s="14" t="inlineStr">
        <is>
          <t>Distinguished Clubs</t>
        </is>
      </c>
      <c r="E3" s="14" t="inlineStr">
        <is>
          <t>Base Membership</t>
        </is>
      </c>
      <c r="F3" s="14" t="inlineStr">
        <is>
          <t>Active Membership</t>
        </is>
      </c>
      <c r="G3" s="14" t="inlineStr">
        <is>
          <t>September Renewals</t>
        </is>
      </c>
      <c r="H3" s="14" t="inlineStr">
        <is>
          <t>September Renewals %</t>
        </is>
      </c>
      <c r="I3" s="14" t="inlineStr">
        <is>
          <t>March Renewals</t>
        </is>
      </c>
      <c r="J3" s="14" t="inlineStr">
        <is>
          <t>March Renewals %</t>
        </is>
      </c>
      <c r="K3" s="14" t="inlineStr">
        <is>
          <t>Total New Members</t>
        </is>
      </c>
      <c r="L3" s="14" t="inlineStr">
        <is>
          <t>Total Payments</t>
        </is>
      </c>
      <c r="M3" s="14" t="inlineStr">
        <is>
          <t>20+ Clubs</t>
        </is>
      </c>
    </row>
    <row r="4">
      <c r="A4" s="16" t="inlineStr">
        <is>
          <t>Division 0D</t>
        </is>
      </c>
      <c r="B4" s="17">
        <f>COUNTIFS(ClubDetails!C:C, "0D")</f>
        <v/>
      </c>
      <c r="C4" s="17">
        <f>COUNTIFS(ClubDetails!C:C, "0D", ClubDetails!F:F, "Active")</f>
        <v/>
      </c>
      <c r="D4" s="17">
        <f>'Division 0D'!G5</f>
        <v/>
      </c>
      <c r="E4" s="17">
        <f>'Division 0D'!D5</f>
        <v/>
      </c>
      <c r="F4" s="17">
        <f>'Division 0D'!E5</f>
        <v/>
      </c>
      <c r="G4" s="17">
        <f>'Division 0D'!H5</f>
        <v/>
      </c>
      <c r="H4" s="22">
        <f>IF(E4=0, 0, G4/E4)</f>
        <v/>
      </c>
      <c r="I4" s="17">
        <f>'Division 0D'!K5</f>
        <v/>
      </c>
      <c r="J4" s="22">
        <f>IF(E4=0, 0, I4/E4)</f>
        <v/>
      </c>
      <c r="K4" s="17">
        <f>'Division 0D'!O5</f>
        <v/>
      </c>
      <c r="L4" s="17">
        <f>'Division 0D'!N5</f>
        <v/>
      </c>
      <c r="M4" s="17">
        <f>COUNTIF('Division 0D'!E4:E4, "&gt;=20")</f>
        <v/>
      </c>
    </row>
    <row r="5">
      <c r="A5" s="19" t="inlineStr">
        <is>
          <t>Division A</t>
        </is>
      </c>
      <c r="B5" s="20">
        <f>COUNTIFS(ClubDetails!C:C, "A")</f>
        <v/>
      </c>
      <c r="C5" s="20">
        <f>COUNTIFS(ClubDetails!C:C, "A", ClubDetails!F:F, "Active")</f>
        <v/>
      </c>
      <c r="D5" s="20">
        <f>'Division A'!G30</f>
        <v/>
      </c>
      <c r="E5" s="20">
        <f>'Division A'!D30</f>
        <v/>
      </c>
      <c r="F5" s="20">
        <f>'Division A'!E30</f>
        <v/>
      </c>
      <c r="G5" s="20">
        <f>'Division A'!H30</f>
        <v/>
      </c>
      <c r="H5" s="23">
        <f>IF(E5=0, 0, G5/E5)</f>
        <v/>
      </c>
      <c r="I5" s="20">
        <f>'Division A'!K30</f>
        <v/>
      </c>
      <c r="J5" s="23">
        <f>IF(E5=0, 0, I5/E5)</f>
        <v/>
      </c>
      <c r="K5" s="20">
        <f>'Division A'!O30</f>
        <v/>
      </c>
      <c r="L5" s="20">
        <f>'Division A'!N30</f>
        <v/>
      </c>
      <c r="M5" s="20">
        <f>COUNTIF('Division A'!E4:E29, "&gt;=20")</f>
        <v/>
      </c>
    </row>
    <row r="6">
      <c r="A6" s="16" t="inlineStr">
        <is>
          <t>Division B</t>
        </is>
      </c>
      <c r="B6" s="17">
        <f>COUNTIFS(ClubDetails!C:C, "B")</f>
        <v/>
      </c>
      <c r="C6" s="17">
        <f>COUNTIFS(ClubDetails!C:C, "B", ClubDetails!F:F, "Active")</f>
        <v/>
      </c>
      <c r="D6" s="17">
        <f>'Division B'!G25</f>
        <v/>
      </c>
      <c r="E6" s="17">
        <f>'Division B'!D25</f>
        <v/>
      </c>
      <c r="F6" s="17">
        <f>'Division B'!E25</f>
        <v/>
      </c>
      <c r="G6" s="17">
        <f>'Division B'!H25</f>
        <v/>
      </c>
      <c r="H6" s="22">
        <f>IF(E6=0, 0, G6/E6)</f>
        <v/>
      </c>
      <c r="I6" s="17">
        <f>'Division B'!K25</f>
        <v/>
      </c>
      <c r="J6" s="22">
        <f>IF(E6=0, 0, I6/E6)</f>
        <v/>
      </c>
      <c r="K6" s="17">
        <f>'Division B'!O25</f>
        <v/>
      </c>
      <c r="L6" s="17">
        <f>'Division B'!N25</f>
        <v/>
      </c>
      <c r="M6" s="17">
        <f>COUNTIF('Division B'!E4:E24, "&gt;=20")</f>
        <v/>
      </c>
    </row>
    <row r="7">
      <c r="A7" s="19" t="inlineStr">
        <is>
          <t>Division C</t>
        </is>
      </c>
      <c r="B7" s="20">
        <f>COUNTIFS(ClubDetails!C:C, "C")</f>
        <v/>
      </c>
      <c r="C7" s="20">
        <f>COUNTIFS(ClubDetails!C:C, "C", ClubDetails!F:F, "Active")</f>
        <v/>
      </c>
      <c r="D7" s="20">
        <f>'Division C'!G22</f>
        <v/>
      </c>
      <c r="E7" s="20">
        <f>'Division C'!D22</f>
        <v/>
      </c>
      <c r="F7" s="20">
        <f>'Division C'!E22</f>
        <v/>
      </c>
      <c r="G7" s="20">
        <f>'Division C'!H22</f>
        <v/>
      </c>
      <c r="H7" s="23">
        <f>IF(E7=0, 0, G7/E7)</f>
        <v/>
      </c>
      <c r="I7" s="20">
        <f>'Division C'!K22</f>
        <v/>
      </c>
      <c r="J7" s="23">
        <f>IF(E7=0, 0, I7/E7)</f>
        <v/>
      </c>
      <c r="K7" s="20">
        <f>'Division C'!O22</f>
        <v/>
      </c>
      <c r="L7" s="20">
        <f>'Division C'!N22</f>
        <v/>
      </c>
      <c r="M7" s="20">
        <f>COUNTIF('Division C'!E4:E21, "&gt;=20")</f>
        <v/>
      </c>
    </row>
    <row r="8">
      <c r="A8" s="16" t="inlineStr">
        <is>
          <t>Division D</t>
        </is>
      </c>
      <c r="B8" s="17">
        <f>COUNTIFS(ClubDetails!C:C, "D")</f>
        <v/>
      </c>
      <c r="C8" s="17">
        <f>COUNTIFS(ClubDetails!C:C, "D", ClubDetails!F:F, "Active")</f>
        <v/>
      </c>
      <c r="D8" s="17">
        <f>'Division D'!G25</f>
        <v/>
      </c>
      <c r="E8" s="17">
        <f>'Division D'!D25</f>
        <v/>
      </c>
      <c r="F8" s="17">
        <f>'Division D'!E25</f>
        <v/>
      </c>
      <c r="G8" s="17">
        <f>'Division D'!H25</f>
        <v/>
      </c>
      <c r="H8" s="22">
        <f>IF(E8=0, 0, G8/E8)</f>
        <v/>
      </c>
      <c r="I8" s="17">
        <f>'Division D'!K25</f>
        <v/>
      </c>
      <c r="J8" s="22">
        <f>IF(E8=0, 0, I8/E8)</f>
        <v/>
      </c>
      <c r="K8" s="17">
        <f>'Division D'!O25</f>
        <v/>
      </c>
      <c r="L8" s="17">
        <f>'Division D'!N25</f>
        <v/>
      </c>
      <c r="M8" s="17">
        <f>COUNTIF('Division D'!E4:E24, "&gt;=20")</f>
        <v/>
      </c>
    </row>
    <row r="9">
      <c r="A9" s="19" t="inlineStr">
        <is>
          <t>Division E</t>
        </is>
      </c>
      <c r="B9" s="20">
        <f>COUNTIFS(ClubDetails!C:C, "E")</f>
        <v/>
      </c>
      <c r="C9" s="20">
        <f>COUNTIFS(ClubDetails!C:C, "E", ClubDetails!F:F, "Active")</f>
        <v/>
      </c>
      <c r="D9" s="20">
        <f>'Division E'!G20</f>
        <v/>
      </c>
      <c r="E9" s="20">
        <f>'Division E'!D20</f>
        <v/>
      </c>
      <c r="F9" s="20">
        <f>'Division E'!E20</f>
        <v/>
      </c>
      <c r="G9" s="20">
        <f>'Division E'!H20</f>
        <v/>
      </c>
      <c r="H9" s="23">
        <f>IF(E9=0, 0, G9/E9)</f>
        <v/>
      </c>
      <c r="I9" s="20">
        <f>'Division E'!K20</f>
        <v/>
      </c>
      <c r="J9" s="23">
        <f>IF(E9=0, 0, I9/E9)</f>
        <v/>
      </c>
      <c r="K9" s="20">
        <f>'Division E'!O20</f>
        <v/>
      </c>
      <c r="L9" s="20">
        <f>'Division E'!N20</f>
        <v/>
      </c>
      <c r="M9" s="20">
        <f>COUNTIF('Division E'!E4:E19, "&gt;=20")</f>
        <v/>
      </c>
    </row>
    <row r="10">
      <c r="A10" s="16" t="inlineStr">
        <is>
          <t>Division F</t>
        </is>
      </c>
      <c r="B10" s="17">
        <f>COUNTIFS(ClubDetails!C:C, "F")</f>
        <v/>
      </c>
      <c r="C10" s="17">
        <f>COUNTIFS(ClubDetails!C:C, "F", ClubDetails!F:F, "Active")</f>
        <v/>
      </c>
      <c r="D10" s="17">
        <f>'Division F'!G28</f>
        <v/>
      </c>
      <c r="E10" s="17">
        <f>'Division F'!D28</f>
        <v/>
      </c>
      <c r="F10" s="17">
        <f>'Division F'!E28</f>
        <v/>
      </c>
      <c r="G10" s="17">
        <f>'Division F'!H28</f>
        <v/>
      </c>
      <c r="H10" s="22">
        <f>IF(E10=0, 0, G10/E10)</f>
        <v/>
      </c>
      <c r="I10" s="17">
        <f>'Division F'!K28</f>
        <v/>
      </c>
      <c r="J10" s="22">
        <f>IF(E10=0, 0, I10/E10)</f>
        <v/>
      </c>
      <c r="K10" s="17">
        <f>'Division F'!O28</f>
        <v/>
      </c>
      <c r="L10" s="17">
        <f>'Division F'!N28</f>
        <v/>
      </c>
      <c r="M10" s="17">
        <f>COUNTIF('Division F'!E4:E27, "&gt;=20")</f>
        <v/>
      </c>
    </row>
    <row r="11">
      <c r="A11" s="19" t="inlineStr">
        <is>
          <t>Division G</t>
        </is>
      </c>
      <c r="B11" s="20">
        <f>COUNTIFS(ClubDetails!C:C, "G")</f>
        <v/>
      </c>
      <c r="C11" s="20">
        <f>COUNTIFS(ClubDetails!C:C, "G", ClubDetails!F:F, "Active")</f>
        <v/>
      </c>
      <c r="D11" s="20">
        <f>'Division G'!G23</f>
        <v/>
      </c>
      <c r="E11" s="20">
        <f>'Division G'!D23</f>
        <v/>
      </c>
      <c r="F11" s="20">
        <f>'Division G'!E23</f>
        <v/>
      </c>
      <c r="G11" s="20">
        <f>'Division G'!H23</f>
        <v/>
      </c>
      <c r="H11" s="23">
        <f>IF(E11=0, 0, G11/E11)</f>
        <v/>
      </c>
      <c r="I11" s="20">
        <f>'Division G'!K23</f>
        <v/>
      </c>
      <c r="J11" s="23">
        <f>IF(E11=0, 0, I11/E11)</f>
        <v/>
      </c>
      <c r="K11" s="20">
        <f>'Division G'!O23</f>
        <v/>
      </c>
      <c r="L11" s="20">
        <f>'Division G'!N23</f>
        <v/>
      </c>
      <c r="M11" s="20">
        <f>COUNTIF('Division G'!E4:E22, "&gt;=20")</f>
        <v/>
      </c>
    </row>
    <row r="12">
      <c r="A12" s="16" t="inlineStr">
        <is>
          <t>Division H</t>
        </is>
      </c>
      <c r="B12" s="17">
        <f>COUNTIFS(ClubDetails!C:C, "H")</f>
        <v/>
      </c>
      <c r="C12" s="17">
        <f>COUNTIFS(ClubDetails!C:C, "H", ClubDetails!F:F, "Active")</f>
        <v/>
      </c>
      <c r="D12" s="17">
        <f>'Division H'!G28</f>
        <v/>
      </c>
      <c r="E12" s="17">
        <f>'Division H'!D28</f>
        <v/>
      </c>
      <c r="F12" s="17">
        <f>'Division H'!E28</f>
        <v/>
      </c>
      <c r="G12" s="17">
        <f>'Division H'!H28</f>
        <v/>
      </c>
      <c r="H12" s="22">
        <f>IF(E12=0, 0, G12/E12)</f>
        <v/>
      </c>
      <c r="I12" s="17">
        <f>'Division H'!K28</f>
        <v/>
      </c>
      <c r="J12" s="22">
        <f>IF(E12=0, 0, I12/E12)</f>
        <v/>
      </c>
      <c r="K12" s="17">
        <f>'Division H'!O28</f>
        <v/>
      </c>
      <c r="L12" s="17">
        <f>'Division H'!N28</f>
        <v/>
      </c>
      <c r="M12" s="17">
        <f>COUNTIF('Division H'!E4:E27, "&gt;=20")</f>
        <v/>
      </c>
    </row>
    <row r="13">
      <c r="A13" s="19" t="inlineStr">
        <is>
          <t>Division I</t>
        </is>
      </c>
      <c r="B13" s="20">
        <f>COUNTIFS(ClubDetails!C:C, "I")</f>
        <v/>
      </c>
      <c r="C13" s="20">
        <f>COUNTIFS(ClubDetails!C:C, "I", ClubDetails!F:F, "Active")</f>
        <v/>
      </c>
      <c r="D13" s="20">
        <f>'Division I'!G23</f>
        <v/>
      </c>
      <c r="E13" s="20">
        <f>'Division I'!D23</f>
        <v/>
      </c>
      <c r="F13" s="20">
        <f>'Division I'!E23</f>
        <v/>
      </c>
      <c r="G13" s="20">
        <f>'Division I'!H23</f>
        <v/>
      </c>
      <c r="H13" s="23">
        <f>IF(E13=0, 0, G13/E13)</f>
        <v/>
      </c>
      <c r="I13" s="20">
        <f>'Division I'!K23</f>
        <v/>
      </c>
      <c r="J13" s="23">
        <f>IF(E13=0, 0, I13/E13)</f>
        <v/>
      </c>
      <c r="K13" s="20">
        <f>'Division I'!O23</f>
        <v/>
      </c>
      <c r="L13" s="20">
        <f>'Division I'!N23</f>
        <v/>
      </c>
      <c r="M13" s="20">
        <f>COUNTIF('Division I'!E4:E22, "&gt;=20")</f>
        <v/>
      </c>
    </row>
    <row r="14">
      <c r="A14" s="24" t="inlineStr">
        <is>
          <t>District Total</t>
        </is>
      </c>
      <c r="B14" s="7">
        <f>SUM(B4:B13)</f>
        <v/>
      </c>
      <c r="C14" s="7">
        <f>SUM(C4:C13)</f>
        <v/>
      </c>
      <c r="D14" s="7">
        <f>SUM(D4:D13)</f>
        <v/>
      </c>
      <c r="E14" s="7">
        <f>SUM(E4:E13)</f>
        <v/>
      </c>
      <c r="F14" s="7">
        <f>SUM(F4:F13)</f>
        <v/>
      </c>
      <c r="G14" s="7">
        <f>SUM(G4:G13)</f>
        <v/>
      </c>
      <c r="H14" s="25">
        <f>IF(E14=0, 0, G14/E14)</f>
        <v/>
      </c>
      <c r="I14" s="7">
        <f>SUM(I4:I13)</f>
        <v/>
      </c>
      <c r="J14" s="25">
        <f>IF(E14=0, 0, I14/E14)</f>
        <v/>
      </c>
      <c r="K14" s="7">
        <f>SUM(K4:K13)</f>
        <v/>
      </c>
      <c r="L14" s="7">
        <f>SUM(L4:L13)</f>
        <v/>
      </c>
      <c r="M14" s="7">
        <f>SUM(M4:M13)</f>
        <v/>
      </c>
    </row>
    <row r="15"/>
    <row r="16"/>
    <row r="17">
      <c r="A17" s="10" t="inlineStr">
        <is>
          <t>Area Performance Summary</t>
        </is>
      </c>
    </row>
    <row r="18">
      <c r="A18" s="11" t="inlineStr">
        <is>
          <t>Division</t>
        </is>
      </c>
      <c r="B18" s="11" t="inlineStr">
        <is>
          <t>Area</t>
        </is>
      </c>
      <c r="C18" s="11" t="inlineStr">
        <is>
          <t>Base Membership</t>
        </is>
      </c>
      <c r="D18" s="11" t="inlineStr">
        <is>
          <t>Active Membership</t>
        </is>
      </c>
      <c r="E18" s="11" t="inlineStr">
        <is>
          <t>September Renewals</t>
        </is>
      </c>
      <c r="F18" s="11" t="inlineStr">
        <is>
          <t>September Renewals %</t>
        </is>
      </c>
      <c r="G18" s="11" t="inlineStr">
        <is>
          <t>March Renewals</t>
        </is>
      </c>
      <c r="H18" s="11" t="inlineStr">
        <is>
          <t>March Renewals %</t>
        </is>
      </c>
      <c r="I18" s="11" t="inlineStr">
        <is>
          <t>Total New Members</t>
        </is>
      </c>
      <c r="J18" s="11" t="inlineStr">
        <is>
          <t>Total Payments</t>
        </is>
      </c>
    </row>
    <row r="19">
      <c r="A19" s="18" t="inlineStr">
        <is>
          <t>0D</t>
        </is>
      </c>
      <c r="B19" s="18" t="inlineStr">
        <is>
          <t>0A</t>
        </is>
      </c>
      <c r="C19" s="20">
        <f>SUMIFS(ClubDetails!G:G, ClubDetails!C:C, A19, ClubDetails!D:D, B19)</f>
        <v/>
      </c>
      <c r="D19" s="20">
        <f>SUMIFS(ClubDetails!H:H, ClubDetails!C:C, A19, ClubDetails!D:D, B19)</f>
        <v/>
      </c>
      <c r="E19" s="20">
        <f>SUMIFS(ClubDetails!K:K, ClubDetails!C:C, A19, ClubDetails!D:D, B19)</f>
        <v/>
      </c>
      <c r="F19" s="23">
        <f>IF(C19=0, 0, E19/C19)</f>
        <v/>
      </c>
      <c r="G19" s="20">
        <f>SUMIFS(ClubDetails!L:L, ClubDetails!C:C, A19, ClubDetails!D:D, B19)</f>
        <v/>
      </c>
      <c r="H19" s="23">
        <f>IF(C19=0, 0, G19/C19)</f>
        <v/>
      </c>
      <c r="I19" s="20">
        <f>SUMIFS(ClubDetails!J:J, ClubDetails!C:C, A19, ClubDetails!D:D, B19)</f>
        <v/>
      </c>
      <c r="J19" s="20">
        <f>SUMIFS(ClubDetails!M:M, ClubDetails!C:C, A19, ClubDetails!D:D, B19)</f>
        <v/>
      </c>
    </row>
    <row r="20">
      <c r="A20" s="15" t="inlineStr">
        <is>
          <t>A</t>
        </is>
      </c>
      <c r="B20" s="15" t="inlineStr">
        <is>
          <t>01</t>
        </is>
      </c>
      <c r="C20" s="17">
        <f>SUMIFS(ClubDetails!G:G, ClubDetails!C:C, A20, ClubDetails!D:D, B20)</f>
        <v/>
      </c>
      <c r="D20" s="17">
        <f>SUMIFS(ClubDetails!H:H, ClubDetails!C:C, A20, ClubDetails!D:D, B20)</f>
        <v/>
      </c>
      <c r="E20" s="17">
        <f>SUMIFS(ClubDetails!K:K, ClubDetails!C:C, A20, ClubDetails!D:D, B20)</f>
        <v/>
      </c>
      <c r="F20" s="22">
        <f>IF(C20=0, 0, E20/C20)</f>
        <v/>
      </c>
      <c r="G20" s="17">
        <f>SUMIFS(ClubDetails!L:L, ClubDetails!C:C, A20, ClubDetails!D:D, B20)</f>
        <v/>
      </c>
      <c r="H20" s="22">
        <f>IF(C20=0, 0, G20/C20)</f>
        <v/>
      </c>
      <c r="I20" s="17">
        <f>SUMIFS(ClubDetails!J:J, ClubDetails!C:C, A20, ClubDetails!D:D, B20)</f>
        <v/>
      </c>
      <c r="J20" s="17">
        <f>SUMIFS(ClubDetails!M:M, ClubDetails!C:C, A20, ClubDetails!D:D, B20)</f>
        <v/>
      </c>
    </row>
    <row r="21">
      <c r="A21" s="18" t="inlineStr">
        <is>
          <t>A</t>
        </is>
      </c>
      <c r="B21" s="18" t="inlineStr">
        <is>
          <t>02</t>
        </is>
      </c>
      <c r="C21" s="20">
        <f>SUMIFS(ClubDetails!G:G, ClubDetails!C:C, A21, ClubDetails!D:D, B21)</f>
        <v/>
      </c>
      <c r="D21" s="20">
        <f>SUMIFS(ClubDetails!H:H, ClubDetails!C:C, A21, ClubDetails!D:D, B21)</f>
        <v/>
      </c>
      <c r="E21" s="20">
        <f>SUMIFS(ClubDetails!K:K, ClubDetails!C:C, A21, ClubDetails!D:D, B21)</f>
        <v/>
      </c>
      <c r="F21" s="23">
        <f>IF(C21=0, 0, E21/C21)</f>
        <v/>
      </c>
      <c r="G21" s="20">
        <f>SUMIFS(ClubDetails!L:L, ClubDetails!C:C, A21, ClubDetails!D:D, B21)</f>
        <v/>
      </c>
      <c r="H21" s="23">
        <f>IF(C21=0, 0, G21/C21)</f>
        <v/>
      </c>
      <c r="I21" s="20">
        <f>SUMIFS(ClubDetails!J:J, ClubDetails!C:C, A21, ClubDetails!D:D, B21)</f>
        <v/>
      </c>
      <c r="J21" s="20">
        <f>SUMIFS(ClubDetails!M:M, ClubDetails!C:C, A21, ClubDetails!D:D, B21)</f>
        <v/>
      </c>
    </row>
    <row r="22">
      <c r="A22" s="15" t="inlineStr">
        <is>
          <t>A</t>
        </is>
      </c>
      <c r="B22" s="15" t="inlineStr">
        <is>
          <t>03</t>
        </is>
      </c>
      <c r="C22" s="17">
        <f>SUMIFS(ClubDetails!G:G, ClubDetails!C:C, A22, ClubDetails!D:D, B22)</f>
        <v/>
      </c>
      <c r="D22" s="17">
        <f>SUMIFS(ClubDetails!H:H, ClubDetails!C:C, A22, ClubDetails!D:D, B22)</f>
        <v/>
      </c>
      <c r="E22" s="17">
        <f>SUMIFS(ClubDetails!K:K, ClubDetails!C:C, A22, ClubDetails!D:D, B22)</f>
        <v/>
      </c>
      <c r="F22" s="22">
        <f>IF(C22=0, 0, E22/C22)</f>
        <v/>
      </c>
      <c r="G22" s="17">
        <f>SUMIFS(ClubDetails!L:L, ClubDetails!C:C, A22, ClubDetails!D:D, B22)</f>
        <v/>
      </c>
      <c r="H22" s="22">
        <f>IF(C22=0, 0, G22/C22)</f>
        <v/>
      </c>
      <c r="I22" s="17">
        <f>SUMIFS(ClubDetails!J:J, ClubDetails!C:C, A22, ClubDetails!D:D, B22)</f>
        <v/>
      </c>
      <c r="J22" s="17">
        <f>SUMIFS(ClubDetails!M:M, ClubDetails!C:C, A22, ClubDetails!D:D, B22)</f>
        <v/>
      </c>
    </row>
    <row r="23">
      <c r="A23" s="18" t="inlineStr">
        <is>
          <t>A</t>
        </is>
      </c>
      <c r="B23" s="18" t="inlineStr">
        <is>
          <t>04</t>
        </is>
      </c>
      <c r="C23" s="20">
        <f>SUMIFS(ClubDetails!G:G, ClubDetails!C:C, A23, ClubDetails!D:D, B23)</f>
        <v/>
      </c>
      <c r="D23" s="20">
        <f>SUMIFS(ClubDetails!H:H, ClubDetails!C:C, A23, ClubDetails!D:D, B23)</f>
        <v/>
      </c>
      <c r="E23" s="20">
        <f>SUMIFS(ClubDetails!K:K, ClubDetails!C:C, A23, ClubDetails!D:D, B23)</f>
        <v/>
      </c>
      <c r="F23" s="23">
        <f>IF(C23=0, 0, E23/C23)</f>
        <v/>
      </c>
      <c r="G23" s="20">
        <f>SUMIFS(ClubDetails!L:L, ClubDetails!C:C, A23, ClubDetails!D:D, B23)</f>
        <v/>
      </c>
      <c r="H23" s="23">
        <f>IF(C23=0, 0, G23/C23)</f>
        <v/>
      </c>
      <c r="I23" s="20">
        <f>SUMIFS(ClubDetails!J:J, ClubDetails!C:C, A23, ClubDetails!D:D, B23)</f>
        <v/>
      </c>
      <c r="J23" s="20">
        <f>SUMIFS(ClubDetails!M:M, ClubDetails!C:C, A23, ClubDetails!D:D, B23)</f>
        <v/>
      </c>
    </row>
    <row r="24">
      <c r="A24" s="15" t="inlineStr">
        <is>
          <t>A</t>
        </is>
      </c>
      <c r="B24" s="15" t="inlineStr">
        <is>
          <t>05</t>
        </is>
      </c>
      <c r="C24" s="17">
        <f>SUMIFS(ClubDetails!G:G, ClubDetails!C:C, A24, ClubDetails!D:D, B24)</f>
        <v/>
      </c>
      <c r="D24" s="17">
        <f>SUMIFS(ClubDetails!H:H, ClubDetails!C:C, A24, ClubDetails!D:D, B24)</f>
        <v/>
      </c>
      <c r="E24" s="17">
        <f>SUMIFS(ClubDetails!K:K, ClubDetails!C:C, A24, ClubDetails!D:D, B24)</f>
        <v/>
      </c>
      <c r="F24" s="22">
        <f>IF(C24=0, 0, E24/C24)</f>
        <v/>
      </c>
      <c r="G24" s="17">
        <f>SUMIFS(ClubDetails!L:L, ClubDetails!C:C, A24, ClubDetails!D:D, B24)</f>
        <v/>
      </c>
      <c r="H24" s="22">
        <f>IF(C24=0, 0, G24/C24)</f>
        <v/>
      </c>
      <c r="I24" s="17">
        <f>SUMIFS(ClubDetails!J:J, ClubDetails!C:C, A24, ClubDetails!D:D, B24)</f>
        <v/>
      </c>
      <c r="J24" s="17">
        <f>SUMIFS(ClubDetails!M:M, ClubDetails!C:C, A24, ClubDetails!D:D, B24)</f>
        <v/>
      </c>
    </row>
    <row r="25">
      <c r="A25" s="18" t="inlineStr">
        <is>
          <t>B</t>
        </is>
      </c>
      <c r="B25" s="18" t="inlineStr">
        <is>
          <t>01</t>
        </is>
      </c>
      <c r="C25" s="20">
        <f>SUMIFS(ClubDetails!G:G, ClubDetails!C:C, A25, ClubDetails!D:D, B25)</f>
        <v/>
      </c>
      <c r="D25" s="20">
        <f>SUMIFS(ClubDetails!H:H, ClubDetails!C:C, A25, ClubDetails!D:D, B25)</f>
        <v/>
      </c>
      <c r="E25" s="20">
        <f>SUMIFS(ClubDetails!K:K, ClubDetails!C:C, A25, ClubDetails!D:D, B25)</f>
        <v/>
      </c>
      <c r="F25" s="23">
        <f>IF(C25=0, 0, E25/C25)</f>
        <v/>
      </c>
      <c r="G25" s="20">
        <f>SUMIFS(ClubDetails!L:L, ClubDetails!C:C, A25, ClubDetails!D:D, B25)</f>
        <v/>
      </c>
      <c r="H25" s="23">
        <f>IF(C25=0, 0, G25/C25)</f>
        <v/>
      </c>
      <c r="I25" s="20">
        <f>SUMIFS(ClubDetails!J:J, ClubDetails!C:C, A25, ClubDetails!D:D, B25)</f>
        <v/>
      </c>
      <c r="J25" s="20">
        <f>SUMIFS(ClubDetails!M:M, ClubDetails!C:C, A25, ClubDetails!D:D, B25)</f>
        <v/>
      </c>
    </row>
    <row r="26">
      <c r="A26" s="15" t="inlineStr">
        <is>
          <t>B</t>
        </is>
      </c>
      <c r="B26" s="15" t="inlineStr">
        <is>
          <t>02</t>
        </is>
      </c>
      <c r="C26" s="17">
        <f>SUMIFS(ClubDetails!G:G, ClubDetails!C:C, A26, ClubDetails!D:D, B26)</f>
        <v/>
      </c>
      <c r="D26" s="17">
        <f>SUMIFS(ClubDetails!H:H, ClubDetails!C:C, A26, ClubDetails!D:D, B26)</f>
        <v/>
      </c>
      <c r="E26" s="17">
        <f>SUMIFS(ClubDetails!K:K, ClubDetails!C:C, A26, ClubDetails!D:D, B26)</f>
        <v/>
      </c>
      <c r="F26" s="22">
        <f>IF(C26=0, 0, E26/C26)</f>
        <v/>
      </c>
      <c r="G26" s="17">
        <f>SUMIFS(ClubDetails!L:L, ClubDetails!C:C, A26, ClubDetails!D:D, B26)</f>
        <v/>
      </c>
      <c r="H26" s="22">
        <f>IF(C26=0, 0, G26/C26)</f>
        <v/>
      </c>
      <c r="I26" s="17">
        <f>SUMIFS(ClubDetails!J:J, ClubDetails!C:C, A26, ClubDetails!D:D, B26)</f>
        <v/>
      </c>
      <c r="J26" s="17">
        <f>SUMIFS(ClubDetails!M:M, ClubDetails!C:C, A26, ClubDetails!D:D, B26)</f>
        <v/>
      </c>
    </row>
    <row r="27">
      <c r="A27" s="18" t="inlineStr">
        <is>
          <t>B</t>
        </is>
      </c>
      <c r="B27" s="18" t="inlineStr">
        <is>
          <t>03</t>
        </is>
      </c>
      <c r="C27" s="20">
        <f>SUMIFS(ClubDetails!G:G, ClubDetails!C:C, A27, ClubDetails!D:D, B27)</f>
        <v/>
      </c>
      <c r="D27" s="20">
        <f>SUMIFS(ClubDetails!H:H, ClubDetails!C:C, A27, ClubDetails!D:D, B27)</f>
        <v/>
      </c>
      <c r="E27" s="20">
        <f>SUMIFS(ClubDetails!K:K, ClubDetails!C:C, A27, ClubDetails!D:D, B27)</f>
        <v/>
      </c>
      <c r="F27" s="23">
        <f>IF(C27=0, 0, E27/C27)</f>
        <v/>
      </c>
      <c r="G27" s="20">
        <f>SUMIFS(ClubDetails!L:L, ClubDetails!C:C, A27, ClubDetails!D:D, B27)</f>
        <v/>
      </c>
      <c r="H27" s="23">
        <f>IF(C27=0, 0, G27/C27)</f>
        <v/>
      </c>
      <c r="I27" s="20">
        <f>SUMIFS(ClubDetails!J:J, ClubDetails!C:C, A27, ClubDetails!D:D, B27)</f>
        <v/>
      </c>
      <c r="J27" s="20">
        <f>SUMIFS(ClubDetails!M:M, ClubDetails!C:C, A27, ClubDetails!D:D, B27)</f>
        <v/>
      </c>
    </row>
    <row r="28">
      <c r="A28" s="15" t="inlineStr">
        <is>
          <t>B</t>
        </is>
      </c>
      <c r="B28" s="15" t="inlineStr">
        <is>
          <t>04</t>
        </is>
      </c>
      <c r="C28" s="17">
        <f>SUMIFS(ClubDetails!G:G, ClubDetails!C:C, A28, ClubDetails!D:D, B28)</f>
        <v/>
      </c>
      <c r="D28" s="17">
        <f>SUMIFS(ClubDetails!H:H, ClubDetails!C:C, A28, ClubDetails!D:D, B28)</f>
        <v/>
      </c>
      <c r="E28" s="17">
        <f>SUMIFS(ClubDetails!K:K, ClubDetails!C:C, A28, ClubDetails!D:D, B28)</f>
        <v/>
      </c>
      <c r="F28" s="22">
        <f>IF(C28=0, 0, E28/C28)</f>
        <v/>
      </c>
      <c r="G28" s="17">
        <f>SUMIFS(ClubDetails!L:L, ClubDetails!C:C, A28, ClubDetails!D:D, B28)</f>
        <v/>
      </c>
      <c r="H28" s="22">
        <f>IF(C28=0, 0, G28/C28)</f>
        <v/>
      </c>
      <c r="I28" s="17">
        <f>SUMIFS(ClubDetails!J:J, ClubDetails!C:C, A28, ClubDetails!D:D, B28)</f>
        <v/>
      </c>
      <c r="J28" s="17">
        <f>SUMIFS(ClubDetails!M:M, ClubDetails!C:C, A28, ClubDetails!D:D, B28)</f>
        <v/>
      </c>
    </row>
    <row r="29">
      <c r="A29" s="18" t="inlineStr">
        <is>
          <t>C</t>
        </is>
      </c>
      <c r="B29" s="18" t="inlineStr">
        <is>
          <t>01</t>
        </is>
      </c>
      <c r="C29" s="20">
        <f>SUMIFS(ClubDetails!G:G, ClubDetails!C:C, A29, ClubDetails!D:D, B29)</f>
        <v/>
      </c>
      <c r="D29" s="20">
        <f>SUMIFS(ClubDetails!H:H, ClubDetails!C:C, A29, ClubDetails!D:D, B29)</f>
        <v/>
      </c>
      <c r="E29" s="20">
        <f>SUMIFS(ClubDetails!K:K, ClubDetails!C:C, A29, ClubDetails!D:D, B29)</f>
        <v/>
      </c>
      <c r="F29" s="23">
        <f>IF(C29=0, 0, E29/C29)</f>
        <v/>
      </c>
      <c r="G29" s="20">
        <f>SUMIFS(ClubDetails!L:L, ClubDetails!C:C, A29, ClubDetails!D:D, B29)</f>
        <v/>
      </c>
      <c r="H29" s="23">
        <f>IF(C29=0, 0, G29/C29)</f>
        <v/>
      </c>
      <c r="I29" s="20">
        <f>SUMIFS(ClubDetails!J:J, ClubDetails!C:C, A29, ClubDetails!D:D, B29)</f>
        <v/>
      </c>
      <c r="J29" s="20">
        <f>SUMIFS(ClubDetails!M:M, ClubDetails!C:C, A29, ClubDetails!D:D, B29)</f>
        <v/>
      </c>
    </row>
    <row r="30">
      <c r="A30" s="15" t="inlineStr">
        <is>
          <t>C</t>
        </is>
      </c>
      <c r="B30" s="15" t="inlineStr">
        <is>
          <t>02</t>
        </is>
      </c>
      <c r="C30" s="17">
        <f>SUMIFS(ClubDetails!G:G, ClubDetails!C:C, A30, ClubDetails!D:D, B30)</f>
        <v/>
      </c>
      <c r="D30" s="17">
        <f>SUMIFS(ClubDetails!H:H, ClubDetails!C:C, A30, ClubDetails!D:D, B30)</f>
        <v/>
      </c>
      <c r="E30" s="17">
        <f>SUMIFS(ClubDetails!K:K, ClubDetails!C:C, A30, ClubDetails!D:D, B30)</f>
        <v/>
      </c>
      <c r="F30" s="22">
        <f>IF(C30=0, 0, E30/C30)</f>
        <v/>
      </c>
      <c r="G30" s="17">
        <f>SUMIFS(ClubDetails!L:L, ClubDetails!C:C, A30, ClubDetails!D:D, B30)</f>
        <v/>
      </c>
      <c r="H30" s="22">
        <f>IF(C30=0, 0, G30/C30)</f>
        <v/>
      </c>
      <c r="I30" s="17">
        <f>SUMIFS(ClubDetails!J:J, ClubDetails!C:C, A30, ClubDetails!D:D, B30)</f>
        <v/>
      </c>
      <c r="J30" s="17">
        <f>SUMIFS(ClubDetails!M:M, ClubDetails!C:C, A30, ClubDetails!D:D, B30)</f>
        <v/>
      </c>
    </row>
    <row r="31">
      <c r="A31" s="18" t="inlineStr">
        <is>
          <t>C</t>
        </is>
      </c>
      <c r="B31" s="18" t="inlineStr">
        <is>
          <t>03</t>
        </is>
      </c>
      <c r="C31" s="20">
        <f>SUMIFS(ClubDetails!G:G, ClubDetails!C:C, A31, ClubDetails!D:D, B31)</f>
        <v/>
      </c>
      <c r="D31" s="20">
        <f>SUMIFS(ClubDetails!H:H, ClubDetails!C:C, A31, ClubDetails!D:D, B31)</f>
        <v/>
      </c>
      <c r="E31" s="20">
        <f>SUMIFS(ClubDetails!K:K, ClubDetails!C:C, A31, ClubDetails!D:D, B31)</f>
        <v/>
      </c>
      <c r="F31" s="23">
        <f>IF(C31=0, 0, E31/C31)</f>
        <v/>
      </c>
      <c r="G31" s="20">
        <f>SUMIFS(ClubDetails!L:L, ClubDetails!C:C, A31, ClubDetails!D:D, B31)</f>
        <v/>
      </c>
      <c r="H31" s="23">
        <f>IF(C31=0, 0, G31/C31)</f>
        <v/>
      </c>
      <c r="I31" s="20">
        <f>SUMIFS(ClubDetails!J:J, ClubDetails!C:C, A31, ClubDetails!D:D, B31)</f>
        <v/>
      </c>
      <c r="J31" s="20">
        <f>SUMIFS(ClubDetails!M:M, ClubDetails!C:C, A31, ClubDetails!D:D, B31)</f>
        <v/>
      </c>
    </row>
    <row r="32">
      <c r="A32" s="15" t="inlineStr">
        <is>
          <t>C</t>
        </is>
      </c>
      <c r="B32" s="15" t="inlineStr">
        <is>
          <t>04</t>
        </is>
      </c>
      <c r="C32" s="17">
        <f>SUMIFS(ClubDetails!G:G, ClubDetails!C:C, A32, ClubDetails!D:D, B32)</f>
        <v/>
      </c>
      <c r="D32" s="17">
        <f>SUMIFS(ClubDetails!H:H, ClubDetails!C:C, A32, ClubDetails!D:D, B32)</f>
        <v/>
      </c>
      <c r="E32" s="17">
        <f>SUMIFS(ClubDetails!K:K, ClubDetails!C:C, A32, ClubDetails!D:D, B32)</f>
        <v/>
      </c>
      <c r="F32" s="22">
        <f>IF(C32=0, 0, E32/C32)</f>
        <v/>
      </c>
      <c r="G32" s="17">
        <f>SUMIFS(ClubDetails!L:L, ClubDetails!C:C, A32, ClubDetails!D:D, B32)</f>
        <v/>
      </c>
      <c r="H32" s="22">
        <f>IF(C32=0, 0, G32/C32)</f>
        <v/>
      </c>
      <c r="I32" s="17">
        <f>SUMIFS(ClubDetails!J:J, ClubDetails!C:C, A32, ClubDetails!D:D, B32)</f>
        <v/>
      </c>
      <c r="J32" s="17">
        <f>SUMIFS(ClubDetails!M:M, ClubDetails!C:C, A32, ClubDetails!D:D, B32)</f>
        <v/>
      </c>
    </row>
    <row r="33">
      <c r="A33" s="18" t="inlineStr">
        <is>
          <t>D</t>
        </is>
      </c>
      <c r="B33" s="18" t="inlineStr">
        <is>
          <t>01</t>
        </is>
      </c>
      <c r="C33" s="20">
        <f>SUMIFS(ClubDetails!G:G, ClubDetails!C:C, A33, ClubDetails!D:D, B33)</f>
        <v/>
      </c>
      <c r="D33" s="20">
        <f>SUMIFS(ClubDetails!H:H, ClubDetails!C:C, A33, ClubDetails!D:D, B33)</f>
        <v/>
      </c>
      <c r="E33" s="20">
        <f>SUMIFS(ClubDetails!K:K, ClubDetails!C:C, A33, ClubDetails!D:D, B33)</f>
        <v/>
      </c>
      <c r="F33" s="23">
        <f>IF(C33=0, 0, E33/C33)</f>
        <v/>
      </c>
      <c r="G33" s="20">
        <f>SUMIFS(ClubDetails!L:L, ClubDetails!C:C, A33, ClubDetails!D:D, B33)</f>
        <v/>
      </c>
      <c r="H33" s="23">
        <f>IF(C33=0, 0, G33/C33)</f>
        <v/>
      </c>
      <c r="I33" s="20">
        <f>SUMIFS(ClubDetails!J:J, ClubDetails!C:C, A33, ClubDetails!D:D, B33)</f>
        <v/>
      </c>
      <c r="J33" s="20">
        <f>SUMIFS(ClubDetails!M:M, ClubDetails!C:C, A33, ClubDetails!D:D, B33)</f>
        <v/>
      </c>
    </row>
    <row r="34">
      <c r="A34" s="15" t="inlineStr">
        <is>
          <t>D</t>
        </is>
      </c>
      <c r="B34" s="15" t="inlineStr">
        <is>
          <t>02</t>
        </is>
      </c>
      <c r="C34" s="17">
        <f>SUMIFS(ClubDetails!G:G, ClubDetails!C:C, A34, ClubDetails!D:D, B34)</f>
        <v/>
      </c>
      <c r="D34" s="17">
        <f>SUMIFS(ClubDetails!H:H, ClubDetails!C:C, A34, ClubDetails!D:D, B34)</f>
        <v/>
      </c>
      <c r="E34" s="17">
        <f>SUMIFS(ClubDetails!K:K, ClubDetails!C:C, A34, ClubDetails!D:D, B34)</f>
        <v/>
      </c>
      <c r="F34" s="22">
        <f>IF(C34=0, 0, E34/C34)</f>
        <v/>
      </c>
      <c r="G34" s="17">
        <f>SUMIFS(ClubDetails!L:L, ClubDetails!C:C, A34, ClubDetails!D:D, B34)</f>
        <v/>
      </c>
      <c r="H34" s="22">
        <f>IF(C34=0, 0, G34/C34)</f>
        <v/>
      </c>
      <c r="I34" s="17">
        <f>SUMIFS(ClubDetails!J:J, ClubDetails!C:C, A34, ClubDetails!D:D, B34)</f>
        <v/>
      </c>
      <c r="J34" s="17">
        <f>SUMIFS(ClubDetails!M:M, ClubDetails!C:C, A34, ClubDetails!D:D, B34)</f>
        <v/>
      </c>
    </row>
    <row r="35">
      <c r="A35" s="18" t="inlineStr">
        <is>
          <t>D</t>
        </is>
      </c>
      <c r="B35" s="18" t="inlineStr">
        <is>
          <t>03</t>
        </is>
      </c>
      <c r="C35" s="20">
        <f>SUMIFS(ClubDetails!G:G, ClubDetails!C:C, A35, ClubDetails!D:D, B35)</f>
        <v/>
      </c>
      <c r="D35" s="20">
        <f>SUMIFS(ClubDetails!H:H, ClubDetails!C:C, A35, ClubDetails!D:D, B35)</f>
        <v/>
      </c>
      <c r="E35" s="20">
        <f>SUMIFS(ClubDetails!K:K, ClubDetails!C:C, A35, ClubDetails!D:D, B35)</f>
        <v/>
      </c>
      <c r="F35" s="23">
        <f>IF(C35=0, 0, E35/C35)</f>
        <v/>
      </c>
      <c r="G35" s="20">
        <f>SUMIFS(ClubDetails!L:L, ClubDetails!C:C, A35, ClubDetails!D:D, B35)</f>
        <v/>
      </c>
      <c r="H35" s="23">
        <f>IF(C35=0, 0, G35/C35)</f>
        <v/>
      </c>
      <c r="I35" s="20">
        <f>SUMIFS(ClubDetails!J:J, ClubDetails!C:C, A35, ClubDetails!D:D, B35)</f>
        <v/>
      </c>
      <c r="J35" s="20">
        <f>SUMIFS(ClubDetails!M:M, ClubDetails!C:C, A35, ClubDetails!D:D, B35)</f>
        <v/>
      </c>
    </row>
    <row r="36">
      <c r="A36" s="15" t="inlineStr">
        <is>
          <t>D</t>
        </is>
      </c>
      <c r="B36" s="15" t="inlineStr">
        <is>
          <t>04</t>
        </is>
      </c>
      <c r="C36" s="17">
        <f>SUMIFS(ClubDetails!G:G, ClubDetails!C:C, A36, ClubDetails!D:D, B36)</f>
        <v/>
      </c>
      <c r="D36" s="17">
        <f>SUMIFS(ClubDetails!H:H, ClubDetails!C:C, A36, ClubDetails!D:D, B36)</f>
        <v/>
      </c>
      <c r="E36" s="17">
        <f>SUMIFS(ClubDetails!K:K, ClubDetails!C:C, A36, ClubDetails!D:D, B36)</f>
        <v/>
      </c>
      <c r="F36" s="22">
        <f>IF(C36=0, 0, E36/C36)</f>
        <v/>
      </c>
      <c r="G36" s="17">
        <f>SUMIFS(ClubDetails!L:L, ClubDetails!C:C, A36, ClubDetails!D:D, B36)</f>
        <v/>
      </c>
      <c r="H36" s="22">
        <f>IF(C36=0, 0, G36/C36)</f>
        <v/>
      </c>
      <c r="I36" s="17">
        <f>SUMIFS(ClubDetails!J:J, ClubDetails!C:C, A36, ClubDetails!D:D, B36)</f>
        <v/>
      </c>
      <c r="J36" s="17">
        <f>SUMIFS(ClubDetails!M:M, ClubDetails!C:C, A36, ClubDetails!D:D, B36)</f>
        <v/>
      </c>
    </row>
    <row r="37">
      <c r="A37" s="18" t="inlineStr">
        <is>
          <t>D</t>
        </is>
      </c>
      <c r="B37" s="18" t="inlineStr">
        <is>
          <t>05</t>
        </is>
      </c>
      <c r="C37" s="20">
        <f>SUMIFS(ClubDetails!G:G, ClubDetails!C:C, A37, ClubDetails!D:D, B37)</f>
        <v/>
      </c>
      <c r="D37" s="20">
        <f>SUMIFS(ClubDetails!H:H, ClubDetails!C:C, A37, ClubDetails!D:D, B37)</f>
        <v/>
      </c>
      <c r="E37" s="20">
        <f>SUMIFS(ClubDetails!K:K, ClubDetails!C:C, A37, ClubDetails!D:D, B37)</f>
        <v/>
      </c>
      <c r="F37" s="23">
        <f>IF(C37=0, 0, E37/C37)</f>
        <v/>
      </c>
      <c r="G37" s="20">
        <f>SUMIFS(ClubDetails!L:L, ClubDetails!C:C, A37, ClubDetails!D:D, B37)</f>
        <v/>
      </c>
      <c r="H37" s="23">
        <f>IF(C37=0, 0, G37/C37)</f>
        <v/>
      </c>
      <c r="I37" s="20">
        <f>SUMIFS(ClubDetails!J:J, ClubDetails!C:C, A37, ClubDetails!D:D, B37)</f>
        <v/>
      </c>
      <c r="J37" s="20">
        <f>SUMIFS(ClubDetails!M:M, ClubDetails!C:C, A37, ClubDetails!D:D, B37)</f>
        <v/>
      </c>
    </row>
    <row r="38">
      <c r="A38" s="15" t="inlineStr">
        <is>
          <t>E</t>
        </is>
      </c>
      <c r="B38" s="15" t="inlineStr">
        <is>
          <t>01</t>
        </is>
      </c>
      <c r="C38" s="17">
        <f>SUMIFS(ClubDetails!G:G, ClubDetails!C:C, A38, ClubDetails!D:D, B38)</f>
        <v/>
      </c>
      <c r="D38" s="17">
        <f>SUMIFS(ClubDetails!H:H, ClubDetails!C:C, A38, ClubDetails!D:D, B38)</f>
        <v/>
      </c>
      <c r="E38" s="17">
        <f>SUMIFS(ClubDetails!K:K, ClubDetails!C:C, A38, ClubDetails!D:D, B38)</f>
        <v/>
      </c>
      <c r="F38" s="22">
        <f>IF(C38=0, 0, E38/C38)</f>
        <v/>
      </c>
      <c r="G38" s="17">
        <f>SUMIFS(ClubDetails!L:L, ClubDetails!C:C, A38, ClubDetails!D:D, B38)</f>
        <v/>
      </c>
      <c r="H38" s="22">
        <f>IF(C38=0, 0, G38/C38)</f>
        <v/>
      </c>
      <c r="I38" s="17">
        <f>SUMIFS(ClubDetails!J:J, ClubDetails!C:C, A38, ClubDetails!D:D, B38)</f>
        <v/>
      </c>
      <c r="J38" s="17">
        <f>SUMIFS(ClubDetails!M:M, ClubDetails!C:C, A38, ClubDetails!D:D, B38)</f>
        <v/>
      </c>
    </row>
    <row r="39">
      <c r="A39" s="18" t="inlineStr">
        <is>
          <t>E</t>
        </is>
      </c>
      <c r="B39" s="18" t="inlineStr">
        <is>
          <t>02</t>
        </is>
      </c>
      <c r="C39" s="20">
        <f>SUMIFS(ClubDetails!G:G, ClubDetails!C:C, A39, ClubDetails!D:D, B39)</f>
        <v/>
      </c>
      <c r="D39" s="20">
        <f>SUMIFS(ClubDetails!H:H, ClubDetails!C:C, A39, ClubDetails!D:D, B39)</f>
        <v/>
      </c>
      <c r="E39" s="20">
        <f>SUMIFS(ClubDetails!K:K, ClubDetails!C:C, A39, ClubDetails!D:D, B39)</f>
        <v/>
      </c>
      <c r="F39" s="23">
        <f>IF(C39=0, 0, E39/C39)</f>
        <v/>
      </c>
      <c r="G39" s="20">
        <f>SUMIFS(ClubDetails!L:L, ClubDetails!C:C, A39, ClubDetails!D:D, B39)</f>
        <v/>
      </c>
      <c r="H39" s="23">
        <f>IF(C39=0, 0, G39/C39)</f>
        <v/>
      </c>
      <c r="I39" s="20">
        <f>SUMIFS(ClubDetails!J:J, ClubDetails!C:C, A39, ClubDetails!D:D, B39)</f>
        <v/>
      </c>
      <c r="J39" s="20">
        <f>SUMIFS(ClubDetails!M:M, ClubDetails!C:C, A39, ClubDetails!D:D, B39)</f>
        <v/>
      </c>
    </row>
    <row r="40">
      <c r="A40" s="15" t="inlineStr">
        <is>
          <t>E</t>
        </is>
      </c>
      <c r="B40" s="15" t="inlineStr">
        <is>
          <t>03</t>
        </is>
      </c>
      <c r="C40" s="17">
        <f>SUMIFS(ClubDetails!G:G, ClubDetails!C:C, A40, ClubDetails!D:D, B40)</f>
        <v/>
      </c>
      <c r="D40" s="17">
        <f>SUMIFS(ClubDetails!H:H, ClubDetails!C:C, A40, ClubDetails!D:D, B40)</f>
        <v/>
      </c>
      <c r="E40" s="17">
        <f>SUMIFS(ClubDetails!K:K, ClubDetails!C:C, A40, ClubDetails!D:D, B40)</f>
        <v/>
      </c>
      <c r="F40" s="22">
        <f>IF(C40=0, 0, E40/C40)</f>
        <v/>
      </c>
      <c r="G40" s="17">
        <f>SUMIFS(ClubDetails!L:L, ClubDetails!C:C, A40, ClubDetails!D:D, B40)</f>
        <v/>
      </c>
      <c r="H40" s="22">
        <f>IF(C40=0, 0, G40/C40)</f>
        <v/>
      </c>
      <c r="I40" s="17">
        <f>SUMIFS(ClubDetails!J:J, ClubDetails!C:C, A40, ClubDetails!D:D, B40)</f>
        <v/>
      </c>
      <c r="J40" s="17">
        <f>SUMIFS(ClubDetails!M:M, ClubDetails!C:C, A40, ClubDetails!D:D, B40)</f>
        <v/>
      </c>
    </row>
    <row r="41">
      <c r="A41" s="18" t="inlineStr">
        <is>
          <t>E</t>
        </is>
      </c>
      <c r="B41" s="18" t="inlineStr">
        <is>
          <t>04</t>
        </is>
      </c>
      <c r="C41" s="20">
        <f>SUMIFS(ClubDetails!G:G, ClubDetails!C:C, A41, ClubDetails!D:D, B41)</f>
        <v/>
      </c>
      <c r="D41" s="20">
        <f>SUMIFS(ClubDetails!H:H, ClubDetails!C:C, A41, ClubDetails!D:D, B41)</f>
        <v/>
      </c>
      <c r="E41" s="20">
        <f>SUMIFS(ClubDetails!K:K, ClubDetails!C:C, A41, ClubDetails!D:D, B41)</f>
        <v/>
      </c>
      <c r="F41" s="23">
        <f>IF(C41=0, 0, E41/C41)</f>
        <v/>
      </c>
      <c r="G41" s="20">
        <f>SUMIFS(ClubDetails!L:L, ClubDetails!C:C, A41, ClubDetails!D:D, B41)</f>
        <v/>
      </c>
      <c r="H41" s="23">
        <f>IF(C41=0, 0, G41/C41)</f>
        <v/>
      </c>
      <c r="I41" s="20">
        <f>SUMIFS(ClubDetails!J:J, ClubDetails!C:C, A41, ClubDetails!D:D, B41)</f>
        <v/>
      </c>
      <c r="J41" s="20">
        <f>SUMIFS(ClubDetails!M:M, ClubDetails!C:C, A41, ClubDetails!D:D, B41)</f>
        <v/>
      </c>
    </row>
    <row r="42">
      <c r="A42" s="15" t="inlineStr">
        <is>
          <t>F</t>
        </is>
      </c>
      <c r="B42" s="15" t="inlineStr">
        <is>
          <t>01</t>
        </is>
      </c>
      <c r="C42" s="17">
        <f>SUMIFS(ClubDetails!G:G, ClubDetails!C:C, A42, ClubDetails!D:D, B42)</f>
        <v/>
      </c>
      <c r="D42" s="17">
        <f>SUMIFS(ClubDetails!H:H, ClubDetails!C:C, A42, ClubDetails!D:D, B42)</f>
        <v/>
      </c>
      <c r="E42" s="17">
        <f>SUMIFS(ClubDetails!K:K, ClubDetails!C:C, A42, ClubDetails!D:D, B42)</f>
        <v/>
      </c>
      <c r="F42" s="22">
        <f>IF(C42=0, 0, E42/C42)</f>
        <v/>
      </c>
      <c r="G42" s="17">
        <f>SUMIFS(ClubDetails!L:L, ClubDetails!C:C, A42, ClubDetails!D:D, B42)</f>
        <v/>
      </c>
      <c r="H42" s="22">
        <f>IF(C42=0, 0, G42/C42)</f>
        <v/>
      </c>
      <c r="I42" s="17">
        <f>SUMIFS(ClubDetails!J:J, ClubDetails!C:C, A42, ClubDetails!D:D, B42)</f>
        <v/>
      </c>
      <c r="J42" s="17">
        <f>SUMIFS(ClubDetails!M:M, ClubDetails!C:C, A42, ClubDetails!D:D, B42)</f>
        <v/>
      </c>
    </row>
    <row r="43">
      <c r="A43" s="18" t="inlineStr">
        <is>
          <t>F</t>
        </is>
      </c>
      <c r="B43" s="18" t="inlineStr">
        <is>
          <t>02</t>
        </is>
      </c>
      <c r="C43" s="20">
        <f>SUMIFS(ClubDetails!G:G, ClubDetails!C:C, A43, ClubDetails!D:D, B43)</f>
        <v/>
      </c>
      <c r="D43" s="20">
        <f>SUMIFS(ClubDetails!H:H, ClubDetails!C:C, A43, ClubDetails!D:D, B43)</f>
        <v/>
      </c>
      <c r="E43" s="20">
        <f>SUMIFS(ClubDetails!K:K, ClubDetails!C:C, A43, ClubDetails!D:D, B43)</f>
        <v/>
      </c>
      <c r="F43" s="23">
        <f>IF(C43=0, 0, E43/C43)</f>
        <v/>
      </c>
      <c r="G43" s="20">
        <f>SUMIFS(ClubDetails!L:L, ClubDetails!C:C, A43, ClubDetails!D:D, B43)</f>
        <v/>
      </c>
      <c r="H43" s="23">
        <f>IF(C43=0, 0, G43/C43)</f>
        <v/>
      </c>
      <c r="I43" s="20">
        <f>SUMIFS(ClubDetails!J:J, ClubDetails!C:C, A43, ClubDetails!D:D, B43)</f>
        <v/>
      </c>
      <c r="J43" s="20">
        <f>SUMIFS(ClubDetails!M:M, ClubDetails!C:C, A43, ClubDetails!D:D, B43)</f>
        <v/>
      </c>
    </row>
    <row r="44">
      <c r="A44" s="15" t="inlineStr">
        <is>
          <t>F</t>
        </is>
      </c>
      <c r="B44" s="15" t="inlineStr">
        <is>
          <t>03</t>
        </is>
      </c>
      <c r="C44" s="17">
        <f>SUMIFS(ClubDetails!G:G, ClubDetails!C:C, A44, ClubDetails!D:D, B44)</f>
        <v/>
      </c>
      <c r="D44" s="17">
        <f>SUMIFS(ClubDetails!H:H, ClubDetails!C:C, A44, ClubDetails!D:D, B44)</f>
        <v/>
      </c>
      <c r="E44" s="17">
        <f>SUMIFS(ClubDetails!K:K, ClubDetails!C:C, A44, ClubDetails!D:D, B44)</f>
        <v/>
      </c>
      <c r="F44" s="22">
        <f>IF(C44=0, 0, E44/C44)</f>
        <v/>
      </c>
      <c r="G44" s="17">
        <f>SUMIFS(ClubDetails!L:L, ClubDetails!C:C, A44, ClubDetails!D:D, B44)</f>
        <v/>
      </c>
      <c r="H44" s="22">
        <f>IF(C44=0, 0, G44/C44)</f>
        <v/>
      </c>
      <c r="I44" s="17">
        <f>SUMIFS(ClubDetails!J:J, ClubDetails!C:C, A44, ClubDetails!D:D, B44)</f>
        <v/>
      </c>
      <c r="J44" s="17">
        <f>SUMIFS(ClubDetails!M:M, ClubDetails!C:C, A44, ClubDetails!D:D, B44)</f>
        <v/>
      </c>
    </row>
    <row r="45">
      <c r="A45" s="18" t="inlineStr">
        <is>
          <t>F</t>
        </is>
      </c>
      <c r="B45" s="18" t="inlineStr">
        <is>
          <t>04</t>
        </is>
      </c>
      <c r="C45" s="20">
        <f>SUMIFS(ClubDetails!G:G, ClubDetails!C:C, A45, ClubDetails!D:D, B45)</f>
        <v/>
      </c>
      <c r="D45" s="20">
        <f>SUMIFS(ClubDetails!H:H, ClubDetails!C:C, A45, ClubDetails!D:D, B45)</f>
        <v/>
      </c>
      <c r="E45" s="20">
        <f>SUMIFS(ClubDetails!K:K, ClubDetails!C:C, A45, ClubDetails!D:D, B45)</f>
        <v/>
      </c>
      <c r="F45" s="23">
        <f>IF(C45=0, 0, E45/C45)</f>
        <v/>
      </c>
      <c r="G45" s="20">
        <f>SUMIFS(ClubDetails!L:L, ClubDetails!C:C, A45, ClubDetails!D:D, B45)</f>
        <v/>
      </c>
      <c r="H45" s="23">
        <f>IF(C45=0, 0, G45/C45)</f>
        <v/>
      </c>
      <c r="I45" s="20">
        <f>SUMIFS(ClubDetails!J:J, ClubDetails!C:C, A45, ClubDetails!D:D, B45)</f>
        <v/>
      </c>
      <c r="J45" s="20">
        <f>SUMIFS(ClubDetails!M:M, ClubDetails!C:C, A45, ClubDetails!D:D, B45)</f>
        <v/>
      </c>
    </row>
    <row r="46">
      <c r="A46" s="15" t="inlineStr">
        <is>
          <t>F</t>
        </is>
      </c>
      <c r="B46" s="15" t="inlineStr">
        <is>
          <t>05</t>
        </is>
      </c>
      <c r="C46" s="17">
        <f>SUMIFS(ClubDetails!G:G, ClubDetails!C:C, A46, ClubDetails!D:D, B46)</f>
        <v/>
      </c>
      <c r="D46" s="17">
        <f>SUMIFS(ClubDetails!H:H, ClubDetails!C:C, A46, ClubDetails!D:D, B46)</f>
        <v/>
      </c>
      <c r="E46" s="17">
        <f>SUMIFS(ClubDetails!K:K, ClubDetails!C:C, A46, ClubDetails!D:D, B46)</f>
        <v/>
      </c>
      <c r="F46" s="22">
        <f>IF(C46=0, 0, E46/C46)</f>
        <v/>
      </c>
      <c r="G46" s="17">
        <f>SUMIFS(ClubDetails!L:L, ClubDetails!C:C, A46, ClubDetails!D:D, B46)</f>
        <v/>
      </c>
      <c r="H46" s="22">
        <f>IF(C46=0, 0, G46/C46)</f>
        <v/>
      </c>
      <c r="I46" s="17">
        <f>SUMIFS(ClubDetails!J:J, ClubDetails!C:C, A46, ClubDetails!D:D, B46)</f>
        <v/>
      </c>
      <c r="J46" s="17">
        <f>SUMIFS(ClubDetails!M:M, ClubDetails!C:C, A46, ClubDetails!D:D, B46)</f>
        <v/>
      </c>
    </row>
    <row r="47">
      <c r="A47" s="18" t="inlineStr">
        <is>
          <t>G</t>
        </is>
      </c>
      <c r="B47" s="18" t="inlineStr">
        <is>
          <t>01</t>
        </is>
      </c>
      <c r="C47" s="20">
        <f>SUMIFS(ClubDetails!G:G, ClubDetails!C:C, A47, ClubDetails!D:D, B47)</f>
        <v/>
      </c>
      <c r="D47" s="20">
        <f>SUMIFS(ClubDetails!H:H, ClubDetails!C:C, A47, ClubDetails!D:D, B47)</f>
        <v/>
      </c>
      <c r="E47" s="20">
        <f>SUMIFS(ClubDetails!K:K, ClubDetails!C:C, A47, ClubDetails!D:D, B47)</f>
        <v/>
      </c>
      <c r="F47" s="23">
        <f>IF(C47=0, 0, E47/C47)</f>
        <v/>
      </c>
      <c r="G47" s="20">
        <f>SUMIFS(ClubDetails!L:L, ClubDetails!C:C, A47, ClubDetails!D:D, B47)</f>
        <v/>
      </c>
      <c r="H47" s="23">
        <f>IF(C47=0, 0, G47/C47)</f>
        <v/>
      </c>
      <c r="I47" s="20">
        <f>SUMIFS(ClubDetails!J:J, ClubDetails!C:C, A47, ClubDetails!D:D, B47)</f>
        <v/>
      </c>
      <c r="J47" s="20">
        <f>SUMIFS(ClubDetails!M:M, ClubDetails!C:C, A47, ClubDetails!D:D, B47)</f>
        <v/>
      </c>
    </row>
    <row r="48">
      <c r="A48" s="15" t="inlineStr">
        <is>
          <t>G</t>
        </is>
      </c>
      <c r="B48" s="15" t="inlineStr">
        <is>
          <t>02</t>
        </is>
      </c>
      <c r="C48" s="17">
        <f>SUMIFS(ClubDetails!G:G, ClubDetails!C:C, A48, ClubDetails!D:D, B48)</f>
        <v/>
      </c>
      <c r="D48" s="17">
        <f>SUMIFS(ClubDetails!H:H, ClubDetails!C:C, A48, ClubDetails!D:D, B48)</f>
        <v/>
      </c>
      <c r="E48" s="17">
        <f>SUMIFS(ClubDetails!K:K, ClubDetails!C:C, A48, ClubDetails!D:D, B48)</f>
        <v/>
      </c>
      <c r="F48" s="22">
        <f>IF(C48=0, 0, E48/C48)</f>
        <v/>
      </c>
      <c r="G48" s="17">
        <f>SUMIFS(ClubDetails!L:L, ClubDetails!C:C, A48, ClubDetails!D:D, B48)</f>
        <v/>
      </c>
      <c r="H48" s="22">
        <f>IF(C48=0, 0, G48/C48)</f>
        <v/>
      </c>
      <c r="I48" s="17">
        <f>SUMIFS(ClubDetails!J:J, ClubDetails!C:C, A48, ClubDetails!D:D, B48)</f>
        <v/>
      </c>
      <c r="J48" s="17">
        <f>SUMIFS(ClubDetails!M:M, ClubDetails!C:C, A48, ClubDetails!D:D, B48)</f>
        <v/>
      </c>
    </row>
    <row r="49">
      <c r="A49" s="18" t="inlineStr">
        <is>
          <t>G</t>
        </is>
      </c>
      <c r="B49" s="18" t="inlineStr">
        <is>
          <t>03</t>
        </is>
      </c>
      <c r="C49" s="20">
        <f>SUMIFS(ClubDetails!G:G, ClubDetails!C:C, A49, ClubDetails!D:D, B49)</f>
        <v/>
      </c>
      <c r="D49" s="20">
        <f>SUMIFS(ClubDetails!H:H, ClubDetails!C:C, A49, ClubDetails!D:D, B49)</f>
        <v/>
      </c>
      <c r="E49" s="20">
        <f>SUMIFS(ClubDetails!K:K, ClubDetails!C:C, A49, ClubDetails!D:D, B49)</f>
        <v/>
      </c>
      <c r="F49" s="23">
        <f>IF(C49=0, 0, E49/C49)</f>
        <v/>
      </c>
      <c r="G49" s="20">
        <f>SUMIFS(ClubDetails!L:L, ClubDetails!C:C, A49, ClubDetails!D:D, B49)</f>
        <v/>
      </c>
      <c r="H49" s="23">
        <f>IF(C49=0, 0, G49/C49)</f>
        <v/>
      </c>
      <c r="I49" s="20">
        <f>SUMIFS(ClubDetails!J:J, ClubDetails!C:C, A49, ClubDetails!D:D, B49)</f>
        <v/>
      </c>
      <c r="J49" s="20">
        <f>SUMIFS(ClubDetails!M:M, ClubDetails!C:C, A49, ClubDetails!D:D, B49)</f>
        <v/>
      </c>
    </row>
    <row r="50">
      <c r="A50" s="15" t="inlineStr">
        <is>
          <t>G</t>
        </is>
      </c>
      <c r="B50" s="15" t="inlineStr">
        <is>
          <t>04</t>
        </is>
      </c>
      <c r="C50" s="17">
        <f>SUMIFS(ClubDetails!G:G, ClubDetails!C:C, A50, ClubDetails!D:D, B50)</f>
        <v/>
      </c>
      <c r="D50" s="17">
        <f>SUMIFS(ClubDetails!H:H, ClubDetails!C:C, A50, ClubDetails!D:D, B50)</f>
        <v/>
      </c>
      <c r="E50" s="17">
        <f>SUMIFS(ClubDetails!K:K, ClubDetails!C:C, A50, ClubDetails!D:D, B50)</f>
        <v/>
      </c>
      <c r="F50" s="22">
        <f>IF(C50=0, 0, E50/C50)</f>
        <v/>
      </c>
      <c r="G50" s="17">
        <f>SUMIFS(ClubDetails!L:L, ClubDetails!C:C, A50, ClubDetails!D:D, B50)</f>
        <v/>
      </c>
      <c r="H50" s="22">
        <f>IF(C50=0, 0, G50/C50)</f>
        <v/>
      </c>
      <c r="I50" s="17">
        <f>SUMIFS(ClubDetails!J:J, ClubDetails!C:C, A50, ClubDetails!D:D, B50)</f>
        <v/>
      </c>
      <c r="J50" s="17">
        <f>SUMIFS(ClubDetails!M:M, ClubDetails!C:C, A50, ClubDetails!D:D, B50)</f>
        <v/>
      </c>
    </row>
    <row r="51">
      <c r="A51" s="18" t="inlineStr">
        <is>
          <t>H</t>
        </is>
      </c>
      <c r="B51" s="18" t="inlineStr">
        <is>
          <t>01</t>
        </is>
      </c>
      <c r="C51" s="20">
        <f>SUMIFS(ClubDetails!G:G, ClubDetails!C:C, A51, ClubDetails!D:D, B51)</f>
        <v/>
      </c>
      <c r="D51" s="20">
        <f>SUMIFS(ClubDetails!H:H, ClubDetails!C:C, A51, ClubDetails!D:D, B51)</f>
        <v/>
      </c>
      <c r="E51" s="20">
        <f>SUMIFS(ClubDetails!K:K, ClubDetails!C:C, A51, ClubDetails!D:D, B51)</f>
        <v/>
      </c>
      <c r="F51" s="23">
        <f>IF(C51=0, 0, E51/C51)</f>
        <v/>
      </c>
      <c r="G51" s="20">
        <f>SUMIFS(ClubDetails!L:L, ClubDetails!C:C, A51, ClubDetails!D:D, B51)</f>
        <v/>
      </c>
      <c r="H51" s="23">
        <f>IF(C51=0, 0, G51/C51)</f>
        <v/>
      </c>
      <c r="I51" s="20">
        <f>SUMIFS(ClubDetails!J:J, ClubDetails!C:C, A51, ClubDetails!D:D, B51)</f>
        <v/>
      </c>
      <c r="J51" s="20">
        <f>SUMIFS(ClubDetails!M:M, ClubDetails!C:C, A51, ClubDetails!D:D, B51)</f>
        <v/>
      </c>
    </row>
    <row r="52">
      <c r="A52" s="15" t="inlineStr">
        <is>
          <t>H</t>
        </is>
      </c>
      <c r="B52" s="15" t="inlineStr">
        <is>
          <t>02</t>
        </is>
      </c>
      <c r="C52" s="17">
        <f>SUMIFS(ClubDetails!G:G, ClubDetails!C:C, A52, ClubDetails!D:D, B52)</f>
        <v/>
      </c>
      <c r="D52" s="17">
        <f>SUMIFS(ClubDetails!H:H, ClubDetails!C:C, A52, ClubDetails!D:D, B52)</f>
        <v/>
      </c>
      <c r="E52" s="17">
        <f>SUMIFS(ClubDetails!K:K, ClubDetails!C:C, A52, ClubDetails!D:D, B52)</f>
        <v/>
      </c>
      <c r="F52" s="22">
        <f>IF(C52=0, 0, E52/C52)</f>
        <v/>
      </c>
      <c r="G52" s="17">
        <f>SUMIFS(ClubDetails!L:L, ClubDetails!C:C, A52, ClubDetails!D:D, B52)</f>
        <v/>
      </c>
      <c r="H52" s="22">
        <f>IF(C52=0, 0, G52/C52)</f>
        <v/>
      </c>
      <c r="I52" s="17">
        <f>SUMIFS(ClubDetails!J:J, ClubDetails!C:C, A52, ClubDetails!D:D, B52)</f>
        <v/>
      </c>
      <c r="J52" s="17">
        <f>SUMIFS(ClubDetails!M:M, ClubDetails!C:C, A52, ClubDetails!D:D, B52)</f>
        <v/>
      </c>
    </row>
    <row r="53">
      <c r="A53" s="18" t="inlineStr">
        <is>
          <t>H</t>
        </is>
      </c>
      <c r="B53" s="18" t="inlineStr">
        <is>
          <t>03</t>
        </is>
      </c>
      <c r="C53" s="20">
        <f>SUMIFS(ClubDetails!G:G, ClubDetails!C:C, A53, ClubDetails!D:D, B53)</f>
        <v/>
      </c>
      <c r="D53" s="20">
        <f>SUMIFS(ClubDetails!H:H, ClubDetails!C:C, A53, ClubDetails!D:D, B53)</f>
        <v/>
      </c>
      <c r="E53" s="20">
        <f>SUMIFS(ClubDetails!K:K, ClubDetails!C:C, A53, ClubDetails!D:D, B53)</f>
        <v/>
      </c>
      <c r="F53" s="23">
        <f>IF(C53=0, 0, E53/C53)</f>
        <v/>
      </c>
      <c r="G53" s="20">
        <f>SUMIFS(ClubDetails!L:L, ClubDetails!C:C, A53, ClubDetails!D:D, B53)</f>
        <v/>
      </c>
      <c r="H53" s="23">
        <f>IF(C53=0, 0, G53/C53)</f>
        <v/>
      </c>
      <c r="I53" s="20">
        <f>SUMIFS(ClubDetails!J:J, ClubDetails!C:C, A53, ClubDetails!D:D, B53)</f>
        <v/>
      </c>
      <c r="J53" s="20">
        <f>SUMIFS(ClubDetails!M:M, ClubDetails!C:C, A53, ClubDetails!D:D, B53)</f>
        <v/>
      </c>
    </row>
    <row r="54">
      <c r="A54" s="15" t="inlineStr">
        <is>
          <t>H</t>
        </is>
      </c>
      <c r="B54" s="15" t="inlineStr">
        <is>
          <t>04</t>
        </is>
      </c>
      <c r="C54" s="17">
        <f>SUMIFS(ClubDetails!G:G, ClubDetails!C:C, A54, ClubDetails!D:D, B54)</f>
        <v/>
      </c>
      <c r="D54" s="17">
        <f>SUMIFS(ClubDetails!H:H, ClubDetails!C:C, A54, ClubDetails!D:D, B54)</f>
        <v/>
      </c>
      <c r="E54" s="17">
        <f>SUMIFS(ClubDetails!K:K, ClubDetails!C:C, A54, ClubDetails!D:D, B54)</f>
        <v/>
      </c>
      <c r="F54" s="22">
        <f>IF(C54=0, 0, E54/C54)</f>
        <v/>
      </c>
      <c r="G54" s="17">
        <f>SUMIFS(ClubDetails!L:L, ClubDetails!C:C, A54, ClubDetails!D:D, B54)</f>
        <v/>
      </c>
      <c r="H54" s="22">
        <f>IF(C54=0, 0, G54/C54)</f>
        <v/>
      </c>
      <c r="I54" s="17">
        <f>SUMIFS(ClubDetails!J:J, ClubDetails!C:C, A54, ClubDetails!D:D, B54)</f>
        <v/>
      </c>
      <c r="J54" s="17">
        <f>SUMIFS(ClubDetails!M:M, ClubDetails!C:C, A54, ClubDetails!D:D, B54)</f>
        <v/>
      </c>
    </row>
    <row r="55">
      <c r="A55" s="18" t="inlineStr">
        <is>
          <t>H</t>
        </is>
      </c>
      <c r="B55" s="18" t="inlineStr">
        <is>
          <t>05</t>
        </is>
      </c>
      <c r="C55" s="20">
        <f>SUMIFS(ClubDetails!G:G, ClubDetails!C:C, A55, ClubDetails!D:D, B55)</f>
        <v/>
      </c>
      <c r="D55" s="20">
        <f>SUMIFS(ClubDetails!H:H, ClubDetails!C:C, A55, ClubDetails!D:D, B55)</f>
        <v/>
      </c>
      <c r="E55" s="20">
        <f>SUMIFS(ClubDetails!K:K, ClubDetails!C:C, A55, ClubDetails!D:D, B55)</f>
        <v/>
      </c>
      <c r="F55" s="23">
        <f>IF(C55=0, 0, E55/C55)</f>
        <v/>
      </c>
      <c r="G55" s="20">
        <f>SUMIFS(ClubDetails!L:L, ClubDetails!C:C, A55, ClubDetails!D:D, B55)</f>
        <v/>
      </c>
      <c r="H55" s="23">
        <f>IF(C55=0, 0, G55/C55)</f>
        <v/>
      </c>
      <c r="I55" s="20">
        <f>SUMIFS(ClubDetails!J:J, ClubDetails!C:C, A55, ClubDetails!D:D, B55)</f>
        <v/>
      </c>
      <c r="J55" s="20">
        <f>SUMIFS(ClubDetails!M:M, ClubDetails!C:C, A55, ClubDetails!D:D, B55)</f>
        <v/>
      </c>
    </row>
    <row r="56">
      <c r="A56" s="15" t="inlineStr">
        <is>
          <t>I</t>
        </is>
      </c>
      <c r="B56" s="15" t="inlineStr">
        <is>
          <t>01</t>
        </is>
      </c>
      <c r="C56" s="17">
        <f>SUMIFS(ClubDetails!G:G, ClubDetails!C:C, A56, ClubDetails!D:D, B56)</f>
        <v/>
      </c>
      <c r="D56" s="17">
        <f>SUMIFS(ClubDetails!H:H, ClubDetails!C:C, A56, ClubDetails!D:D, B56)</f>
        <v/>
      </c>
      <c r="E56" s="17">
        <f>SUMIFS(ClubDetails!K:K, ClubDetails!C:C, A56, ClubDetails!D:D, B56)</f>
        <v/>
      </c>
      <c r="F56" s="22">
        <f>IF(C56=0, 0, E56/C56)</f>
        <v/>
      </c>
      <c r="G56" s="17">
        <f>SUMIFS(ClubDetails!L:L, ClubDetails!C:C, A56, ClubDetails!D:D, B56)</f>
        <v/>
      </c>
      <c r="H56" s="22">
        <f>IF(C56=0, 0, G56/C56)</f>
        <v/>
      </c>
      <c r="I56" s="17">
        <f>SUMIFS(ClubDetails!J:J, ClubDetails!C:C, A56, ClubDetails!D:D, B56)</f>
        <v/>
      </c>
      <c r="J56" s="17">
        <f>SUMIFS(ClubDetails!M:M, ClubDetails!C:C, A56, ClubDetails!D:D, B56)</f>
        <v/>
      </c>
    </row>
    <row r="57">
      <c r="A57" s="18" t="inlineStr">
        <is>
          <t>I</t>
        </is>
      </c>
      <c r="B57" s="18" t="inlineStr">
        <is>
          <t>02</t>
        </is>
      </c>
      <c r="C57" s="20">
        <f>SUMIFS(ClubDetails!G:G, ClubDetails!C:C, A57, ClubDetails!D:D, B57)</f>
        <v/>
      </c>
      <c r="D57" s="20">
        <f>SUMIFS(ClubDetails!H:H, ClubDetails!C:C, A57, ClubDetails!D:D, B57)</f>
        <v/>
      </c>
      <c r="E57" s="20">
        <f>SUMIFS(ClubDetails!K:K, ClubDetails!C:C, A57, ClubDetails!D:D, B57)</f>
        <v/>
      </c>
      <c r="F57" s="23">
        <f>IF(C57=0, 0, E57/C57)</f>
        <v/>
      </c>
      <c r="G57" s="20">
        <f>SUMIFS(ClubDetails!L:L, ClubDetails!C:C, A57, ClubDetails!D:D, B57)</f>
        <v/>
      </c>
      <c r="H57" s="23">
        <f>IF(C57=0, 0, G57/C57)</f>
        <v/>
      </c>
      <c r="I57" s="20">
        <f>SUMIFS(ClubDetails!J:J, ClubDetails!C:C, A57, ClubDetails!D:D, B57)</f>
        <v/>
      </c>
      <c r="J57" s="20">
        <f>SUMIFS(ClubDetails!M:M, ClubDetails!C:C, A57, ClubDetails!D:D, B57)</f>
        <v/>
      </c>
    </row>
    <row r="58">
      <c r="A58" s="15" t="inlineStr">
        <is>
          <t>I</t>
        </is>
      </c>
      <c r="B58" s="15" t="inlineStr">
        <is>
          <t>03</t>
        </is>
      </c>
      <c r="C58" s="17">
        <f>SUMIFS(ClubDetails!G:G, ClubDetails!C:C, A58, ClubDetails!D:D, B58)</f>
        <v/>
      </c>
      <c r="D58" s="17">
        <f>SUMIFS(ClubDetails!H:H, ClubDetails!C:C, A58, ClubDetails!D:D, B58)</f>
        <v/>
      </c>
      <c r="E58" s="17">
        <f>SUMIFS(ClubDetails!K:K, ClubDetails!C:C, A58, ClubDetails!D:D, B58)</f>
        <v/>
      </c>
      <c r="F58" s="22">
        <f>IF(C58=0, 0, E58/C58)</f>
        <v/>
      </c>
      <c r="G58" s="17">
        <f>SUMIFS(ClubDetails!L:L, ClubDetails!C:C, A58, ClubDetails!D:D, B58)</f>
        <v/>
      </c>
      <c r="H58" s="22">
        <f>IF(C58=0, 0, G58/C58)</f>
        <v/>
      </c>
      <c r="I58" s="17">
        <f>SUMIFS(ClubDetails!J:J, ClubDetails!C:C, A58, ClubDetails!D:D, B58)</f>
        <v/>
      </c>
      <c r="J58" s="17">
        <f>SUMIFS(ClubDetails!M:M, ClubDetails!C:C, A58, ClubDetails!D:D, B58)</f>
        <v/>
      </c>
    </row>
    <row r="59">
      <c r="A59" s="18" t="inlineStr">
        <is>
          <t>I</t>
        </is>
      </c>
      <c r="B59" s="18" t="inlineStr">
        <is>
          <t>04</t>
        </is>
      </c>
      <c r="C59" s="20">
        <f>SUMIFS(ClubDetails!G:G, ClubDetails!C:C, A59, ClubDetails!D:D, B59)</f>
        <v/>
      </c>
      <c r="D59" s="20">
        <f>SUMIFS(ClubDetails!H:H, ClubDetails!C:C, A59, ClubDetails!D:D, B59)</f>
        <v/>
      </c>
      <c r="E59" s="20">
        <f>SUMIFS(ClubDetails!K:K, ClubDetails!C:C, A59, ClubDetails!D:D, B59)</f>
        <v/>
      </c>
      <c r="F59" s="23">
        <f>IF(C59=0, 0, E59/C59)</f>
        <v/>
      </c>
      <c r="G59" s="20">
        <f>SUMIFS(ClubDetails!L:L, ClubDetails!C:C, A59, ClubDetails!D:D, B59)</f>
        <v/>
      </c>
      <c r="H59" s="23">
        <f>IF(C59=0, 0, G59/C59)</f>
        <v/>
      </c>
      <c r="I59" s="20">
        <f>SUMIFS(ClubDetails!J:J, ClubDetails!C:C, A59, ClubDetails!D:D, B59)</f>
        <v/>
      </c>
      <c r="J59" s="20">
        <f>SUMIFS(ClubDetails!M:M, ClubDetails!C:C, A59, ClubDetails!D:D, B59)</f>
        <v/>
      </c>
    </row>
    <row r="60">
      <c r="A60" s="24" t="inlineStr">
        <is>
          <t>Area Total</t>
        </is>
      </c>
      <c r="B60" s="26" t="inlineStr"/>
      <c r="C60" s="7">
        <f>SUM(C19:C59)</f>
        <v/>
      </c>
      <c r="D60" s="7">
        <f>SUM(D19:D59)</f>
        <v/>
      </c>
      <c r="E60" s="7">
        <f>SUM(E19:E59)</f>
        <v/>
      </c>
      <c r="F60" s="25">
        <f>IF(C60=0, 0, E60/C60)</f>
        <v/>
      </c>
      <c r="G60" s="7">
        <f>SUM(G19:G59)</f>
        <v/>
      </c>
      <c r="H60" s="25">
        <f>IF(C60=0, 0, G60/C60)</f>
        <v/>
      </c>
      <c r="I60" s="7">
        <f>SUM(I19:I59)</f>
        <v/>
      </c>
      <c r="J60" s="7">
        <f>SUM(J19:J59)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3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0D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7896844</v>
      </c>
      <c r="B4" s="12" t="inlineStr">
        <is>
          <t>0A</t>
        </is>
      </c>
      <c r="C4" s="27" t="inlineStr">
        <is>
          <t>ICSI Mysuru RoyalPro TM Club</t>
        </is>
      </c>
      <c r="D4" s="8">
        <f>ClubDetails!G2</f>
        <v/>
      </c>
      <c r="E4" s="8">
        <f>ClubDetails!H2</f>
        <v/>
      </c>
      <c r="F4" s="8">
        <f>ClubDetails!I2</f>
        <v/>
      </c>
      <c r="G4" s="12">
        <f>IF(F4&lt;5,"-",IF(E4&gt;19,"Yes",IF(E4&gt;D4+2,"Yes","-")))</f>
        <v/>
      </c>
      <c r="H4" s="8">
        <f>ClubDetails!K2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ClubDetails!L2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ClubDetails!M2</f>
        <v/>
      </c>
      <c r="O4" s="8">
        <f>ClubDetails!J2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24" t="inlineStr">
        <is>
          <t>Total / Average</t>
        </is>
      </c>
      <c r="B5" s="26" t="inlineStr"/>
      <c r="C5" s="26" t="inlineStr"/>
      <c r="D5" s="7">
        <f>SUM(D4:D4)</f>
        <v/>
      </c>
      <c r="E5" s="7">
        <f>SUM(E4:E4)</f>
        <v/>
      </c>
      <c r="F5" s="29">
        <f>AVERAGE(F4:F4)</f>
        <v/>
      </c>
      <c r="G5" s="30">
        <f>COUNTIF(G4:G4,"Yes")</f>
        <v/>
      </c>
      <c r="H5" s="7">
        <f>SUM(H4:H4)</f>
        <v/>
      </c>
      <c r="I5" s="25">
        <f>IF(D5=0,0,H5/D5)</f>
        <v/>
      </c>
      <c r="J5" s="30" t="inlineStr"/>
      <c r="K5" s="7">
        <f>SUM(K4:K4)</f>
        <v/>
      </c>
      <c r="L5" s="25">
        <f>IF(D5=0,0,K5/D5)</f>
        <v/>
      </c>
      <c r="M5" s="30" t="inlineStr"/>
      <c r="N5" s="7">
        <f>SUM(N4:N4)</f>
        <v/>
      </c>
      <c r="O5" s="7">
        <f>SUM(O4:O4)</f>
        <v/>
      </c>
      <c r="P5" s="7">
        <f>SUM(P4:P4)</f>
        <v/>
      </c>
      <c r="Q5" s="7">
        <f>SUM(Q4:Q4)</f>
        <v/>
      </c>
      <c r="R5" s="7">
        <f>SUM(R4:R4)</f>
        <v/>
      </c>
      <c r="S5" s="7">
        <f>SUM(S4:S4)</f>
        <v/>
      </c>
      <c r="T5" s="7">
        <f>SUM(T4:T4)</f>
        <v/>
      </c>
      <c r="U5" s="7">
        <f>SUM(U4:U4)</f>
        <v/>
      </c>
      <c r="V5" s="7">
        <f>SUM(V4:V4)</f>
        <v/>
      </c>
      <c r="W5" s="7">
        <f>SUM(W4:W4)</f>
        <v/>
      </c>
      <c r="X5" s="7">
        <f>SUM(X4:X4)</f>
        <v/>
      </c>
      <c r="Y5" s="7">
        <f>SUM(Y4:Y4)</f>
        <v/>
      </c>
      <c r="Z5" s="7">
        <f>SUM(Z4:Z4)</f>
        <v/>
      </c>
      <c r="AA5" s="7">
        <f>SUM(AA4:AA4)</f>
        <v/>
      </c>
      <c r="AB5" s="30">
        <f>COUNTIF(AB4:AB4,"Yes")</f>
        <v/>
      </c>
      <c r="AC5" s="7">
        <f>SUM(AC4:AC4)</f>
        <v/>
      </c>
      <c r="AD5" s="30">
        <f>COUNTIF(AD4:AD4,"Yes")</f>
        <v/>
      </c>
      <c r="AE5" s="7">
        <f>SUM(AE4:AE4)</f>
        <v/>
      </c>
      <c r="AF5" s="30">
        <f>COUNTIF(AF4:AF4,"Yes")</f>
        <v/>
      </c>
      <c r="AG5" s="7">
        <f>SUM(AG4:AG4)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A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1449300</v>
      </c>
      <c r="B4" s="12" t="inlineStr">
        <is>
          <t>01</t>
        </is>
      </c>
      <c r="C4" s="27" t="inlineStr">
        <is>
          <t>Mysore Toastmasters</t>
        </is>
      </c>
      <c r="D4" s="8">
        <f>ClubDetails!G3</f>
        <v/>
      </c>
      <c r="E4" s="8">
        <f>ClubDetails!H3</f>
        <v/>
      </c>
      <c r="F4" s="8">
        <f>ClubDetails!I3</f>
        <v/>
      </c>
      <c r="G4" s="12">
        <f>IF(F4&lt;5,"-",IF(E4&gt;19,"Yes",IF(E4&gt;D4+2,"Yes","-")))</f>
        <v/>
      </c>
      <c r="H4" s="8">
        <f>ClubDetails!K3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ClubDetails!L3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ClubDetails!M3</f>
        <v/>
      </c>
      <c r="O4" s="8">
        <f>ClubDetails!J3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6632488</v>
      </c>
      <c r="B5" s="12" t="inlineStr">
        <is>
          <t>01</t>
        </is>
      </c>
      <c r="C5" s="27" t="inlineStr">
        <is>
          <t>VVCE TOASTMASTERS CLUB</t>
        </is>
      </c>
      <c r="D5" s="8">
        <f>ClubDetails!G4</f>
        <v/>
      </c>
      <c r="E5" s="8">
        <f>ClubDetails!H4</f>
        <v/>
      </c>
      <c r="F5" s="8">
        <f>ClubDetails!I4</f>
        <v/>
      </c>
      <c r="G5" s="12">
        <f>IF(F5&lt;5,"-",IF(E5&gt;19,"Yes",IF(E5&gt;D5+2,"Yes","-")))</f>
        <v/>
      </c>
      <c r="H5" s="8">
        <f>ClubDetails!K4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ClubDetails!L4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ClubDetails!M4</f>
        <v/>
      </c>
      <c r="O5" s="8">
        <f>ClubDetails!J4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7992645</v>
      </c>
      <c r="B6" s="12" t="inlineStr">
        <is>
          <t>01</t>
        </is>
      </c>
      <c r="C6" s="27" t="inlineStr">
        <is>
          <t>All Women and Entrepreneurs Toastmasters Club</t>
        </is>
      </c>
      <c r="D6" s="8">
        <f>ClubDetails!G5</f>
        <v/>
      </c>
      <c r="E6" s="8">
        <f>ClubDetails!H5</f>
        <v/>
      </c>
      <c r="F6" s="8">
        <f>ClubDetails!I5</f>
        <v/>
      </c>
      <c r="G6" s="12">
        <f>IF(F6&lt;5,"-",IF(E6&gt;19,"Yes",IF(E6&gt;D6+2,"Yes","-")))</f>
        <v/>
      </c>
      <c r="H6" s="8">
        <f>ClubDetails!K5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ClubDetails!L5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ClubDetails!M5</f>
        <v/>
      </c>
      <c r="O6" s="8">
        <f>ClubDetails!J5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28678068</v>
      </c>
      <c r="B7" s="12" t="inlineStr">
        <is>
          <t>01</t>
        </is>
      </c>
      <c r="C7" s="27" t="inlineStr">
        <is>
          <t>MIT Toastmasters</t>
        </is>
      </c>
      <c r="D7" s="8">
        <f>ClubDetails!G6</f>
        <v/>
      </c>
      <c r="E7" s="8">
        <f>ClubDetails!H6</f>
        <v/>
      </c>
      <c r="F7" s="8">
        <f>ClubDetails!I6</f>
        <v/>
      </c>
      <c r="G7" s="12">
        <f>IF(F7&lt;5,"-",IF(E7&gt;19,"Yes",IF(E7&gt;D7+2,"Yes","-")))</f>
        <v/>
      </c>
      <c r="H7" s="8">
        <f>ClubDetails!K6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ClubDetails!L6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ClubDetails!M6</f>
        <v/>
      </c>
      <c r="O7" s="8">
        <f>ClubDetails!J6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28680152</v>
      </c>
      <c r="B8" s="12" t="inlineStr">
        <is>
          <t>01</t>
        </is>
      </c>
      <c r="C8" s="27" t="inlineStr">
        <is>
          <t>rProcess Toastmasters Club</t>
        </is>
      </c>
      <c r="D8" s="8">
        <f>ClubDetails!G7</f>
        <v/>
      </c>
      <c r="E8" s="8">
        <f>ClubDetails!H7</f>
        <v/>
      </c>
      <c r="F8" s="8">
        <f>ClubDetails!I7</f>
        <v/>
      </c>
      <c r="G8" s="12">
        <f>IF(F8&lt;5,"-",IF(E8&gt;19,"Yes",IF(E8&gt;D8+2,"Yes","-")))</f>
        <v/>
      </c>
      <c r="H8" s="8">
        <f>ClubDetails!K7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ClubDetails!L7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ClubDetails!M7</f>
        <v/>
      </c>
      <c r="O8" s="8">
        <f>ClubDetails!J7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5953659</v>
      </c>
      <c r="B9" s="12" t="inlineStr">
        <is>
          <t>02</t>
        </is>
      </c>
      <c r="C9" s="27" t="inlineStr">
        <is>
          <t>Ritoras</t>
        </is>
      </c>
      <c r="D9" s="8">
        <f>ClubDetails!G8</f>
        <v/>
      </c>
      <c r="E9" s="8">
        <f>ClubDetails!H8</f>
        <v/>
      </c>
      <c r="F9" s="8">
        <f>ClubDetails!I8</f>
        <v/>
      </c>
      <c r="G9" s="12">
        <f>IF(F9&lt;5,"-",IF(E9&gt;19,"Yes",IF(E9&gt;D9+2,"Yes","-")))</f>
        <v/>
      </c>
      <c r="H9" s="8">
        <f>ClubDetails!K8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ClubDetails!L8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ClubDetails!M8</f>
        <v/>
      </c>
      <c r="O9" s="8">
        <f>ClubDetails!J8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6714857</v>
      </c>
      <c r="B10" s="12" t="inlineStr">
        <is>
          <t>02</t>
        </is>
      </c>
      <c r="C10" s="27" t="inlineStr">
        <is>
          <t>Galaxy Toastmasters Club</t>
        </is>
      </c>
      <c r="D10" s="8">
        <f>ClubDetails!G9</f>
        <v/>
      </c>
      <c r="E10" s="8">
        <f>ClubDetails!H9</f>
        <v/>
      </c>
      <c r="F10" s="8">
        <f>ClubDetails!I9</f>
        <v/>
      </c>
      <c r="G10" s="12">
        <f>IF(F10&lt;5,"-",IF(E10&gt;19,"Yes",IF(E10&gt;D10+2,"Yes","-")))</f>
        <v/>
      </c>
      <c r="H10" s="8">
        <f>ClubDetails!K9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ClubDetails!L9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ClubDetails!M9</f>
        <v/>
      </c>
      <c r="O10" s="8">
        <f>ClubDetails!J9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7772645</v>
      </c>
      <c r="B11" s="12" t="inlineStr">
        <is>
          <t>02</t>
        </is>
      </c>
      <c r="C11" s="27" t="inlineStr">
        <is>
          <t>Namma Bengaluru Toastmasters Club</t>
        </is>
      </c>
      <c r="D11" s="8">
        <f>ClubDetails!G10</f>
        <v/>
      </c>
      <c r="E11" s="8">
        <f>ClubDetails!H10</f>
        <v/>
      </c>
      <c r="F11" s="8">
        <f>ClubDetails!I10</f>
        <v/>
      </c>
      <c r="G11" s="12">
        <f>IF(F11&lt;5,"-",IF(E11&gt;19,"Yes",IF(E11&gt;D11+2,"Yes","-")))</f>
        <v/>
      </c>
      <c r="H11" s="8">
        <f>ClubDetails!K10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ClubDetails!L10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ClubDetails!M10</f>
        <v/>
      </c>
      <c r="O11" s="8">
        <f>ClubDetails!J10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28678224</v>
      </c>
      <c r="B12" s="12" t="inlineStr">
        <is>
          <t>02</t>
        </is>
      </c>
      <c r="C12" s="27" t="inlineStr">
        <is>
          <t>TE Services Toastmasters Club</t>
        </is>
      </c>
      <c r="D12" s="8">
        <f>ClubDetails!G11</f>
        <v/>
      </c>
      <c r="E12" s="8">
        <f>ClubDetails!H11</f>
        <v/>
      </c>
      <c r="F12" s="8">
        <f>ClubDetails!I11</f>
        <v/>
      </c>
      <c r="G12" s="12">
        <f>IF(F12&lt;5,"-",IF(E12&gt;19,"Yes",IF(E12&gt;D12+2,"Yes","-")))</f>
        <v/>
      </c>
      <c r="H12" s="8">
        <f>ClubDetails!K11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ClubDetails!L11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ClubDetails!M11</f>
        <v/>
      </c>
      <c r="O12" s="8">
        <f>ClubDetails!J11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28678951</v>
      </c>
      <c r="B13" s="12" t="inlineStr">
        <is>
          <t>02</t>
        </is>
      </c>
      <c r="C13" s="27" t="inlineStr">
        <is>
          <t>Welldoc Toastmasters</t>
        </is>
      </c>
      <c r="D13" s="8">
        <f>ClubDetails!G12</f>
        <v/>
      </c>
      <c r="E13" s="8">
        <f>ClubDetails!H12</f>
        <v/>
      </c>
      <c r="F13" s="8">
        <f>ClubDetails!I12</f>
        <v/>
      </c>
      <c r="G13" s="12">
        <f>IF(F13&lt;5,"-",IF(E13&gt;19,"Yes",IF(E13&gt;D13+2,"Yes","-")))</f>
        <v/>
      </c>
      <c r="H13" s="8">
        <f>ClubDetails!K12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ClubDetails!L12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ClubDetails!M12</f>
        <v/>
      </c>
      <c r="O13" s="8">
        <f>ClubDetails!J12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28679251</v>
      </c>
      <c r="B14" s="12" t="inlineStr">
        <is>
          <t>02</t>
        </is>
      </c>
      <c r="C14" s="27" t="inlineStr">
        <is>
          <t>Terra</t>
        </is>
      </c>
      <c r="D14" s="8">
        <f>ClubDetails!G13</f>
        <v/>
      </c>
      <c r="E14" s="8">
        <f>ClubDetails!H13</f>
        <v/>
      </c>
      <c r="F14" s="8">
        <f>ClubDetails!I13</f>
        <v/>
      </c>
      <c r="G14" s="12">
        <f>IF(F14&lt;5,"-",IF(E14&gt;19,"Yes",IF(E14&gt;D14+2,"Yes","-")))</f>
        <v/>
      </c>
      <c r="H14" s="8">
        <f>ClubDetails!K13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ClubDetails!L13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ClubDetails!M13</f>
        <v/>
      </c>
      <c r="O14" s="8">
        <f>ClubDetails!J13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3793772</v>
      </c>
      <c r="B15" s="12" t="inlineStr">
        <is>
          <t>03</t>
        </is>
      </c>
      <c r="C15" s="27" t="inlineStr">
        <is>
          <t>Utthishta Toastmasters</t>
        </is>
      </c>
      <c r="D15" s="8">
        <f>ClubDetails!G14</f>
        <v/>
      </c>
      <c r="E15" s="8">
        <f>ClubDetails!H14</f>
        <v/>
      </c>
      <c r="F15" s="8">
        <f>ClubDetails!I14</f>
        <v/>
      </c>
      <c r="G15" s="12">
        <f>IF(F15&lt;5,"-",IF(E15&gt;19,"Yes",IF(E15&gt;D15+2,"Yes","-")))</f>
        <v/>
      </c>
      <c r="H15" s="8">
        <f>ClubDetails!K14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ClubDetails!L14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ClubDetails!M14</f>
        <v/>
      </c>
      <c r="O15" s="8">
        <f>ClubDetails!J14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3926170</v>
      </c>
      <c r="B16" s="12" t="inlineStr">
        <is>
          <t>03</t>
        </is>
      </c>
      <c r="C16" s="27" t="inlineStr">
        <is>
          <t>Textron India Toastmasters Club</t>
        </is>
      </c>
      <c r="D16" s="8">
        <f>ClubDetails!G15</f>
        <v/>
      </c>
      <c r="E16" s="8">
        <f>ClubDetails!H15</f>
        <v/>
      </c>
      <c r="F16" s="8">
        <f>ClubDetails!I15</f>
        <v/>
      </c>
      <c r="G16" s="12">
        <f>IF(F16&lt;5,"-",IF(E16&gt;19,"Yes",IF(E16&gt;D16+2,"Yes","-")))</f>
        <v/>
      </c>
      <c r="H16" s="8">
        <f>ClubDetails!K15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ClubDetails!L15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ClubDetails!M15</f>
        <v/>
      </c>
      <c r="O16" s="8">
        <f>ClubDetails!J15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6479232</v>
      </c>
      <c r="B17" s="12" t="inlineStr">
        <is>
          <t>03</t>
        </is>
      </c>
      <c r="C17" s="27" t="inlineStr">
        <is>
          <t>Mphasis Speech Crafters</t>
        </is>
      </c>
      <c r="D17" s="8">
        <f>ClubDetails!G16</f>
        <v/>
      </c>
      <c r="E17" s="8">
        <f>ClubDetails!H16</f>
        <v/>
      </c>
      <c r="F17" s="8">
        <f>ClubDetails!I16</f>
        <v/>
      </c>
      <c r="G17" s="12">
        <f>IF(F17&lt;5,"-",IF(E17&gt;19,"Yes",IF(E17&gt;D17+2,"Yes","-")))</f>
        <v/>
      </c>
      <c r="H17" s="8">
        <f>ClubDetails!K16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ClubDetails!L16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ClubDetails!M16</f>
        <v/>
      </c>
      <c r="O17" s="8">
        <f>ClubDetails!J16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28678028</v>
      </c>
      <c r="B18" s="12" t="inlineStr">
        <is>
          <t>03</t>
        </is>
      </c>
      <c r="C18" s="27" t="inlineStr">
        <is>
          <t>Namaste Orators</t>
        </is>
      </c>
      <c r="D18" s="8">
        <f>ClubDetails!G17</f>
        <v/>
      </c>
      <c r="E18" s="8">
        <f>ClubDetails!H17</f>
        <v/>
      </c>
      <c r="F18" s="8">
        <f>ClubDetails!I17</f>
        <v/>
      </c>
      <c r="G18" s="12">
        <f>IF(F18&lt;5,"-",IF(E18&gt;19,"Yes",IF(E18&gt;D18+2,"Yes","-")))</f>
        <v/>
      </c>
      <c r="H18" s="8">
        <f>ClubDetails!K17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ClubDetails!L17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ClubDetails!M17</f>
        <v/>
      </c>
      <c r="O18" s="8">
        <f>ClubDetails!J17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28678938</v>
      </c>
      <c r="B19" s="12" t="inlineStr">
        <is>
          <t>03</t>
        </is>
      </c>
      <c r="C19" s="27" t="inlineStr">
        <is>
          <t>DSBA Toastmaster Club</t>
        </is>
      </c>
      <c r="D19" s="8">
        <f>ClubDetails!G18</f>
        <v/>
      </c>
      <c r="E19" s="8">
        <f>ClubDetails!H18</f>
        <v/>
      </c>
      <c r="F19" s="8">
        <f>ClubDetails!I18</f>
        <v/>
      </c>
      <c r="G19" s="12">
        <f>IF(F19&lt;5,"-",IF(E19&gt;19,"Yes",IF(E19&gt;D19+2,"Yes","-")))</f>
        <v/>
      </c>
      <c r="H19" s="8">
        <f>ClubDetails!K18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ClubDetails!L18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ClubDetails!M18</f>
        <v/>
      </c>
      <c r="O19" s="8">
        <f>ClubDetails!J18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28679826</v>
      </c>
      <c r="B20" s="12" t="inlineStr">
        <is>
          <t>03</t>
        </is>
      </c>
      <c r="C20" s="27" t="inlineStr">
        <is>
          <t>DSBA Toastmasters Legacy Club</t>
        </is>
      </c>
      <c r="D20" s="8">
        <f>ClubDetails!G19</f>
        <v/>
      </c>
      <c r="E20" s="8">
        <f>ClubDetails!H19</f>
        <v/>
      </c>
      <c r="F20" s="8">
        <f>ClubDetails!I19</f>
        <v/>
      </c>
      <c r="G20" s="12">
        <f>IF(F20&lt;5,"-",IF(E20&gt;19,"Yes",IF(E20&gt;D20+2,"Yes","-")))</f>
        <v/>
      </c>
      <c r="H20" s="8">
        <f>ClubDetails!K19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ClubDetails!L19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ClubDetails!M19</f>
        <v/>
      </c>
      <c r="O20" s="8">
        <f>ClubDetails!J19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7991317</v>
      </c>
      <c r="B21" s="12" t="inlineStr">
        <is>
          <t>04</t>
        </is>
      </c>
      <c r="C21" s="27" t="inlineStr">
        <is>
          <t>Eloquence Elixir Toastmasters</t>
        </is>
      </c>
      <c r="D21" s="8">
        <f>ClubDetails!G20</f>
        <v/>
      </c>
      <c r="E21" s="8">
        <f>ClubDetails!H20</f>
        <v/>
      </c>
      <c r="F21" s="8">
        <f>ClubDetails!I20</f>
        <v/>
      </c>
      <c r="G21" s="12">
        <f>IF(F21&lt;5,"-",IF(E21&gt;19,"Yes",IF(E21&gt;D21+2,"Yes","-")))</f>
        <v/>
      </c>
      <c r="H21" s="8">
        <f>ClubDetails!K20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ClubDetails!L20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ClubDetails!M20</f>
        <v/>
      </c>
      <c r="O21" s="8">
        <f>ClubDetails!J20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28675492</v>
      </c>
      <c r="B22" s="12" t="inlineStr">
        <is>
          <t>04</t>
        </is>
      </c>
      <c r="C22" s="27" t="inlineStr">
        <is>
          <t>Professional Orators and Leaders TM Club</t>
        </is>
      </c>
      <c r="D22" s="8">
        <f>ClubDetails!G21</f>
        <v/>
      </c>
      <c r="E22" s="8">
        <f>ClubDetails!H21</f>
        <v/>
      </c>
      <c r="F22" s="8">
        <f>ClubDetails!I21</f>
        <v/>
      </c>
      <c r="G22" s="12">
        <f>IF(F22&lt;5,"-",IF(E22&gt;19,"Yes",IF(E22&gt;D22+2,"Yes","-")))</f>
        <v/>
      </c>
      <c r="H22" s="8">
        <f>ClubDetails!K21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ClubDetails!L21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ClubDetails!M21</f>
        <v/>
      </c>
      <c r="O22" s="8">
        <f>ClubDetails!J21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28676363</v>
      </c>
      <c r="B23" s="12" t="inlineStr">
        <is>
          <t>04</t>
        </is>
      </c>
      <c r="C23" s="27" t="inlineStr">
        <is>
          <t>Nagarabhavi Toastmasters Club</t>
        </is>
      </c>
      <c r="D23" s="8">
        <f>ClubDetails!G22</f>
        <v/>
      </c>
      <c r="E23" s="8">
        <f>ClubDetails!H22</f>
        <v/>
      </c>
      <c r="F23" s="8">
        <f>ClubDetails!I22</f>
        <v/>
      </c>
      <c r="G23" s="12">
        <f>IF(F23&lt;5,"-",IF(E23&gt;19,"Yes",IF(E23&gt;D23+2,"Yes","-")))</f>
        <v/>
      </c>
      <c r="H23" s="8">
        <f>ClubDetails!K22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ClubDetails!L22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ClubDetails!M22</f>
        <v/>
      </c>
      <c r="O23" s="8">
        <f>ClubDetails!J22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28677190</v>
      </c>
      <c r="B24" s="12" t="inlineStr">
        <is>
          <t>04</t>
        </is>
      </c>
      <c r="C24" s="27" t="inlineStr">
        <is>
          <t>Christ Kengeri Club</t>
        </is>
      </c>
      <c r="D24" s="8">
        <f>ClubDetails!G23</f>
        <v/>
      </c>
      <c r="E24" s="8">
        <f>ClubDetails!H23</f>
        <v/>
      </c>
      <c r="F24" s="8">
        <f>ClubDetails!I23</f>
        <v/>
      </c>
      <c r="G24" s="12">
        <f>IF(F24&lt;5,"-",IF(E24&gt;19,"Yes",IF(E24&gt;D24+2,"Yes","-")))</f>
        <v/>
      </c>
      <c r="H24" s="8">
        <f>ClubDetails!K23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ClubDetails!L23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ClubDetails!M23</f>
        <v/>
      </c>
      <c r="O24" s="8">
        <f>ClubDetails!J23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28677268</v>
      </c>
      <c r="B25" s="12" t="inlineStr">
        <is>
          <t>04</t>
        </is>
      </c>
      <c r="C25" s="27" t="inlineStr">
        <is>
          <t>ABBS Toastmasters Club</t>
        </is>
      </c>
      <c r="D25" s="8">
        <f>ClubDetails!G24</f>
        <v/>
      </c>
      <c r="E25" s="8">
        <f>ClubDetails!H24</f>
        <v/>
      </c>
      <c r="F25" s="8">
        <f>ClubDetails!I24</f>
        <v/>
      </c>
      <c r="G25" s="12">
        <f>IF(F25&lt;5,"-",IF(E25&gt;19,"Yes",IF(E25&gt;D25+2,"Yes","-")))</f>
        <v/>
      </c>
      <c r="H25" s="8">
        <f>ClubDetails!K24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ClubDetails!L24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ClubDetails!M24</f>
        <v/>
      </c>
      <c r="O25" s="8">
        <f>ClubDetails!J24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631732</v>
      </c>
      <c r="B26" s="12" t="inlineStr">
        <is>
          <t>05</t>
        </is>
      </c>
      <c r="C26" s="27" t="inlineStr">
        <is>
          <t>Mahaveer Speakers Forum Toastmaster Club</t>
        </is>
      </c>
      <c r="D26" s="8">
        <f>ClubDetails!G25</f>
        <v/>
      </c>
      <c r="E26" s="8">
        <f>ClubDetails!H25</f>
        <v/>
      </c>
      <c r="F26" s="8">
        <f>ClubDetails!I25</f>
        <v/>
      </c>
      <c r="G26" s="12">
        <f>IF(F26&lt;5,"-",IF(E26&gt;19,"Yes",IF(E26&gt;D26+2,"Yes","-")))</f>
        <v/>
      </c>
      <c r="H26" s="8">
        <f>ClubDetails!K25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ClubDetails!L25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ClubDetails!M25</f>
        <v/>
      </c>
      <c r="O26" s="8">
        <f>ClubDetails!J25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632019</v>
      </c>
      <c r="B27" s="12" t="inlineStr">
        <is>
          <t>05</t>
        </is>
      </c>
      <c r="C27" s="27" t="inlineStr">
        <is>
          <t>Jain Speakers Forum Toastmasters Club</t>
        </is>
      </c>
      <c r="D27" s="8">
        <f>ClubDetails!G26</f>
        <v/>
      </c>
      <c r="E27" s="8">
        <f>ClubDetails!H26</f>
        <v/>
      </c>
      <c r="F27" s="8">
        <f>ClubDetails!I26</f>
        <v/>
      </c>
      <c r="G27" s="12">
        <f>IF(F27&lt;5,"-",IF(E27&gt;19,"Yes",IF(E27&gt;D27+2,"Yes","-")))</f>
        <v/>
      </c>
      <c r="H27" s="8">
        <f>ClubDetails!K26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ClubDetails!L26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ClubDetails!M26</f>
        <v/>
      </c>
      <c r="O27" s="8">
        <f>ClubDetails!J26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12" t="n">
        <v>843177</v>
      </c>
      <c r="B28" s="12" t="inlineStr">
        <is>
          <t>05</t>
        </is>
      </c>
      <c r="C28" s="27" t="inlineStr">
        <is>
          <t>Talk Master CMS Toastmasters Club</t>
        </is>
      </c>
      <c r="D28" s="8">
        <f>ClubDetails!G27</f>
        <v/>
      </c>
      <c r="E28" s="8">
        <f>ClubDetails!H27</f>
        <v/>
      </c>
      <c r="F28" s="8">
        <f>ClubDetails!I27</f>
        <v/>
      </c>
      <c r="G28" s="12">
        <f>IF(F28&lt;5,"-",IF(E28&gt;19,"Yes",IF(E28&gt;D28+2,"Yes","-")))</f>
        <v/>
      </c>
      <c r="H28" s="8">
        <f>ClubDetails!K27</f>
        <v/>
      </c>
      <c r="I28" s="28">
        <f>IF(D28=0,0,H28/D28)</f>
        <v/>
      </c>
      <c r="J28" s="12">
        <f>IF(H28=0,"Renewals not here",IF(H28&lt;3,"Ineligible",IF(D28&lt;8,"Low","Active")))</f>
        <v/>
      </c>
      <c r="K28" s="8">
        <f>ClubDetails!L27</f>
        <v/>
      </c>
      <c r="L28" s="28">
        <f>IF(D28=0,0,K28/D28)</f>
        <v/>
      </c>
      <c r="M28" s="12">
        <f>IF(K28=0,"Renewals not here",IF(K28&lt;3,"Ineligible",IF(E28&lt;8,"Low","Active")))</f>
        <v/>
      </c>
      <c r="N28" s="8">
        <f>ClubDetails!M27</f>
        <v/>
      </c>
      <c r="O28" s="8">
        <f>ClubDetails!J27</f>
        <v/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12">
        <f>IF(SUM(Q28:R28)&gt;=5,"Yes","No")</f>
        <v/>
      </c>
      <c r="AC28" s="8">
        <f>IF(SUM(Q28:R28)&gt;=5,0,5-SUM(Q28:R28))</f>
        <v/>
      </c>
      <c r="AD28" s="12">
        <f>IF(SUM(W28:X28)&gt;=5,"Yes","No")</f>
        <v/>
      </c>
      <c r="AE28" s="8">
        <f>IF(SUM(W28:X28)&gt;=5,0,5-SUM(W28:X28))</f>
        <v/>
      </c>
      <c r="AF28" s="12">
        <f>IF(SUM(Z28:AA28)&gt;=5,"Yes","No")</f>
        <v/>
      </c>
      <c r="AG28" s="8">
        <f>IF(SUM(Z28:AA28)&gt;=5,0,5-SUM(Z28:AA28))</f>
        <v/>
      </c>
    </row>
    <row r="29">
      <c r="A29" s="12" t="n">
        <v>843182</v>
      </c>
      <c r="B29" s="12" t="inlineStr">
        <is>
          <t>05</t>
        </is>
      </c>
      <c r="C29" s="27" t="inlineStr">
        <is>
          <t>Speech Master CMS Toastmasters Club</t>
        </is>
      </c>
      <c r="D29" s="8">
        <f>ClubDetails!G28</f>
        <v/>
      </c>
      <c r="E29" s="8">
        <f>ClubDetails!H28</f>
        <v/>
      </c>
      <c r="F29" s="8">
        <f>ClubDetails!I28</f>
        <v/>
      </c>
      <c r="G29" s="12">
        <f>IF(F29&lt;5,"-",IF(E29&gt;19,"Yes",IF(E29&gt;D29+2,"Yes","-")))</f>
        <v/>
      </c>
      <c r="H29" s="8">
        <f>ClubDetails!K28</f>
        <v/>
      </c>
      <c r="I29" s="28">
        <f>IF(D29=0,0,H29/D29)</f>
        <v/>
      </c>
      <c r="J29" s="12">
        <f>IF(H29=0,"Renewals not here",IF(H29&lt;3,"Ineligible",IF(D29&lt;8,"Low","Active")))</f>
        <v/>
      </c>
      <c r="K29" s="8">
        <f>ClubDetails!L28</f>
        <v/>
      </c>
      <c r="L29" s="28">
        <f>IF(D29=0,0,K29/D29)</f>
        <v/>
      </c>
      <c r="M29" s="12">
        <f>IF(K29=0,"Renewals not here",IF(K29&lt;3,"Ineligible",IF(E29&lt;8,"Low","Active")))</f>
        <v/>
      </c>
      <c r="N29" s="8">
        <f>ClubDetails!M28</f>
        <v/>
      </c>
      <c r="O29" s="8">
        <f>ClubDetails!J28</f>
        <v/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12">
        <f>IF(SUM(Q29:R29)&gt;=5,"Yes","No")</f>
        <v/>
      </c>
      <c r="AC29" s="8">
        <f>IF(SUM(Q29:R29)&gt;=5,0,5-SUM(Q29:R29))</f>
        <v/>
      </c>
      <c r="AD29" s="12">
        <f>IF(SUM(W29:X29)&gt;=5,"Yes","No")</f>
        <v/>
      </c>
      <c r="AE29" s="8">
        <f>IF(SUM(W29:X29)&gt;=5,0,5-SUM(W29:X29))</f>
        <v/>
      </c>
      <c r="AF29" s="12">
        <f>IF(SUM(Z29:AA29)&gt;=5,"Yes","No")</f>
        <v/>
      </c>
      <c r="AG29" s="8">
        <f>IF(SUM(Z29:AA29)&gt;=5,0,5-SUM(Z29:AA29))</f>
        <v/>
      </c>
    </row>
    <row r="30">
      <c r="A30" s="24" t="inlineStr">
        <is>
          <t>Total / Average</t>
        </is>
      </c>
      <c r="B30" s="26" t="inlineStr"/>
      <c r="C30" s="26" t="inlineStr"/>
      <c r="D30" s="7">
        <f>SUM(D4:D29)</f>
        <v/>
      </c>
      <c r="E30" s="7">
        <f>SUM(E4:E29)</f>
        <v/>
      </c>
      <c r="F30" s="29">
        <f>AVERAGE(F4:F29)</f>
        <v/>
      </c>
      <c r="G30" s="30">
        <f>COUNTIF(G4:G29,"Yes")</f>
        <v/>
      </c>
      <c r="H30" s="7">
        <f>SUM(H4:H29)</f>
        <v/>
      </c>
      <c r="I30" s="25">
        <f>IF(D30=0,0,H30/D30)</f>
        <v/>
      </c>
      <c r="J30" s="30" t="inlineStr"/>
      <c r="K30" s="7">
        <f>SUM(K4:K29)</f>
        <v/>
      </c>
      <c r="L30" s="25">
        <f>IF(D30=0,0,K30/D30)</f>
        <v/>
      </c>
      <c r="M30" s="30" t="inlineStr"/>
      <c r="N30" s="7">
        <f>SUM(N4:N29)</f>
        <v/>
      </c>
      <c r="O30" s="7">
        <f>SUM(O4:O29)</f>
        <v/>
      </c>
      <c r="P30" s="7">
        <f>SUM(P4:P29)</f>
        <v/>
      </c>
      <c r="Q30" s="7">
        <f>SUM(Q4:Q29)</f>
        <v/>
      </c>
      <c r="R30" s="7">
        <f>SUM(R4:R29)</f>
        <v/>
      </c>
      <c r="S30" s="7">
        <f>SUM(S4:S29)</f>
        <v/>
      </c>
      <c r="T30" s="7">
        <f>SUM(T4:T29)</f>
        <v/>
      </c>
      <c r="U30" s="7">
        <f>SUM(U4:U29)</f>
        <v/>
      </c>
      <c r="V30" s="7">
        <f>SUM(V4:V29)</f>
        <v/>
      </c>
      <c r="W30" s="7">
        <f>SUM(W4:W29)</f>
        <v/>
      </c>
      <c r="X30" s="7">
        <f>SUM(X4:X29)</f>
        <v/>
      </c>
      <c r="Y30" s="7">
        <f>SUM(Y4:Y29)</f>
        <v/>
      </c>
      <c r="Z30" s="7">
        <f>SUM(Z4:Z29)</f>
        <v/>
      </c>
      <c r="AA30" s="7">
        <f>SUM(AA4:AA29)</f>
        <v/>
      </c>
      <c r="AB30" s="30">
        <f>COUNTIF(AB4:AB29,"Yes")</f>
        <v/>
      </c>
      <c r="AC30" s="7">
        <f>SUM(AC4:AC29)</f>
        <v/>
      </c>
      <c r="AD30" s="30">
        <f>COUNTIF(AD4:AD29,"Yes")</f>
        <v/>
      </c>
      <c r="AE30" s="7">
        <f>SUM(AE4:AE29)</f>
        <v/>
      </c>
      <c r="AF30" s="30">
        <f>COUNTIF(AF4:AF29,"Yes")</f>
        <v/>
      </c>
      <c r="AG30" s="7">
        <f>SUM(AG4:AG29)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B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7335393</v>
      </c>
      <c r="B4" s="12" t="inlineStr">
        <is>
          <t>01</t>
        </is>
      </c>
      <c r="C4" s="27" t="inlineStr">
        <is>
          <t>Shivamogga Toastmasters</t>
        </is>
      </c>
      <c r="D4" s="8">
        <f>ClubDetails!G29</f>
        <v/>
      </c>
      <c r="E4" s="8">
        <f>ClubDetails!H29</f>
        <v/>
      </c>
      <c r="F4" s="8">
        <f>ClubDetails!I29</f>
        <v/>
      </c>
      <c r="G4" s="12">
        <f>IF(F4&lt;5,"-",IF(E4&gt;19,"Yes",IF(E4&gt;D4+2,"Yes","-")))</f>
        <v/>
      </c>
      <c r="H4" s="8">
        <f>ClubDetails!K29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ClubDetails!L29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ClubDetails!M29</f>
        <v/>
      </c>
      <c r="O4" s="8">
        <f>ClubDetails!J29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28675426</v>
      </c>
      <c r="B5" s="12" t="inlineStr">
        <is>
          <t>01</t>
        </is>
      </c>
      <c r="C5" s="27" t="inlineStr">
        <is>
          <t>Valyou Toastmasters</t>
        </is>
      </c>
      <c r="D5" s="8">
        <f>ClubDetails!G30</f>
        <v/>
      </c>
      <c r="E5" s="8">
        <f>ClubDetails!H30</f>
        <v/>
      </c>
      <c r="F5" s="8">
        <f>ClubDetails!I30</f>
        <v/>
      </c>
      <c r="G5" s="12">
        <f>IF(F5&lt;5,"-",IF(E5&gt;19,"Yes",IF(E5&gt;D5+2,"Yes","-")))</f>
        <v/>
      </c>
      <c r="H5" s="8">
        <f>ClubDetails!K30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ClubDetails!L30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ClubDetails!M30</f>
        <v/>
      </c>
      <c r="O5" s="8">
        <f>ClubDetails!J30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28676014</v>
      </c>
      <c r="B6" s="12" t="inlineStr">
        <is>
          <t>01</t>
        </is>
      </c>
      <c r="C6" s="27" t="inlineStr">
        <is>
          <t>Autodesk Toastmasters Club</t>
        </is>
      </c>
      <c r="D6" s="8">
        <f>ClubDetails!G31</f>
        <v/>
      </c>
      <c r="E6" s="8">
        <f>ClubDetails!H31</f>
        <v/>
      </c>
      <c r="F6" s="8">
        <f>ClubDetails!I31</f>
        <v/>
      </c>
      <c r="G6" s="12">
        <f>IF(F6&lt;5,"-",IF(E6&gt;19,"Yes",IF(E6&gt;D6+2,"Yes","-")))</f>
        <v/>
      </c>
      <c r="H6" s="8">
        <f>ClubDetails!K31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ClubDetails!L31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ClubDetails!M31</f>
        <v/>
      </c>
      <c r="O6" s="8">
        <f>ClubDetails!J31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28676901</v>
      </c>
      <c r="B7" s="12" t="inlineStr">
        <is>
          <t>01</t>
        </is>
      </c>
      <c r="C7" s="27" t="inlineStr">
        <is>
          <t>Accenture Toasters</t>
        </is>
      </c>
      <c r="D7" s="8">
        <f>ClubDetails!G32</f>
        <v/>
      </c>
      <c r="E7" s="8">
        <f>ClubDetails!H32</f>
        <v/>
      </c>
      <c r="F7" s="8">
        <f>ClubDetails!I32</f>
        <v/>
      </c>
      <c r="G7" s="12">
        <f>IF(F7&lt;5,"-",IF(E7&gt;19,"Yes",IF(E7&gt;D7+2,"Yes","-")))</f>
        <v/>
      </c>
      <c r="H7" s="8">
        <f>ClubDetails!K32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ClubDetails!L32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ClubDetails!M32</f>
        <v/>
      </c>
      <c r="O7" s="8">
        <f>ClubDetails!J32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28678720</v>
      </c>
      <c r="B8" s="12" t="inlineStr">
        <is>
          <t>01</t>
        </is>
      </c>
      <c r="C8" s="27" t="inlineStr">
        <is>
          <t>Acharyas Speaking Forum</t>
        </is>
      </c>
      <c r="D8" s="8">
        <f>ClubDetails!G33</f>
        <v/>
      </c>
      <c r="E8" s="8">
        <f>ClubDetails!H33</f>
        <v/>
      </c>
      <c r="F8" s="8">
        <f>ClubDetails!I33</f>
        <v/>
      </c>
      <c r="G8" s="12">
        <f>IF(F8&lt;5,"-",IF(E8&gt;19,"Yes",IF(E8&gt;D8+2,"Yes","-")))</f>
        <v/>
      </c>
      <c r="H8" s="8">
        <f>ClubDetails!K33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ClubDetails!L33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ClubDetails!M33</f>
        <v/>
      </c>
      <c r="O8" s="8">
        <f>ClubDetails!J33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28678997</v>
      </c>
      <c r="B9" s="12" t="inlineStr">
        <is>
          <t>01</t>
        </is>
      </c>
      <c r="C9" s="27" t="inlineStr">
        <is>
          <t>Paychex Catalyst Crew 2</t>
        </is>
      </c>
      <c r="D9" s="8">
        <f>ClubDetails!G34</f>
        <v/>
      </c>
      <c r="E9" s="8">
        <f>ClubDetails!H34</f>
        <v/>
      </c>
      <c r="F9" s="8">
        <f>ClubDetails!I34</f>
        <v/>
      </c>
      <c r="G9" s="12">
        <f>IF(F9&lt;5,"-",IF(E9&gt;19,"Yes",IF(E9&gt;D9+2,"Yes","-")))</f>
        <v/>
      </c>
      <c r="H9" s="8">
        <f>ClubDetails!K34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ClubDetails!L34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ClubDetails!M34</f>
        <v/>
      </c>
      <c r="O9" s="8">
        <f>ClubDetails!J34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547</v>
      </c>
      <c r="B10" s="12" t="inlineStr">
        <is>
          <t>02</t>
        </is>
      </c>
      <c r="C10" s="27" t="inlineStr">
        <is>
          <t>deejays Toastmasters</t>
        </is>
      </c>
      <c r="D10" s="8">
        <f>ClubDetails!G35</f>
        <v/>
      </c>
      <c r="E10" s="8">
        <f>ClubDetails!H35</f>
        <v/>
      </c>
      <c r="F10" s="8">
        <f>ClubDetails!I35</f>
        <v/>
      </c>
      <c r="G10" s="12">
        <f>IF(F10&lt;5,"-",IF(E10&gt;19,"Yes",IF(E10&gt;D10+2,"Yes","-")))</f>
        <v/>
      </c>
      <c r="H10" s="8">
        <f>ClubDetails!K35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ClubDetails!L35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ClubDetails!M35</f>
        <v/>
      </c>
      <c r="O10" s="8">
        <f>ClubDetails!J35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7734175</v>
      </c>
      <c r="B11" s="12" t="inlineStr">
        <is>
          <t>02</t>
        </is>
      </c>
      <c r="C11" s="27" t="inlineStr">
        <is>
          <t>Republic of Toastmasters</t>
        </is>
      </c>
      <c r="D11" s="8">
        <f>ClubDetails!G36</f>
        <v/>
      </c>
      <c r="E11" s="8">
        <f>ClubDetails!H36</f>
        <v/>
      </c>
      <c r="F11" s="8">
        <f>ClubDetails!I36</f>
        <v/>
      </c>
      <c r="G11" s="12">
        <f>IF(F11&lt;5,"-",IF(E11&gt;19,"Yes",IF(E11&gt;D11+2,"Yes","-")))</f>
        <v/>
      </c>
      <c r="H11" s="8">
        <f>ClubDetails!K36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ClubDetails!L36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ClubDetails!M36</f>
        <v/>
      </c>
      <c r="O11" s="8">
        <f>ClubDetails!J36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28677183</v>
      </c>
      <c r="B12" s="12" t="inlineStr">
        <is>
          <t>02</t>
        </is>
      </c>
      <c r="C12" s="27" t="inlineStr">
        <is>
          <t>Titans Toastmasters Club</t>
        </is>
      </c>
      <c r="D12" s="8">
        <f>ClubDetails!G37</f>
        <v/>
      </c>
      <c r="E12" s="8">
        <f>ClubDetails!H37</f>
        <v/>
      </c>
      <c r="F12" s="8">
        <f>ClubDetails!I37</f>
        <v/>
      </c>
      <c r="G12" s="12">
        <f>IF(F12&lt;5,"-",IF(E12&gt;19,"Yes",IF(E12&gt;D12+2,"Yes","-")))</f>
        <v/>
      </c>
      <c r="H12" s="8">
        <f>ClubDetails!K37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ClubDetails!L37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ClubDetails!M37</f>
        <v/>
      </c>
      <c r="O12" s="8">
        <f>ClubDetails!J37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28678400</v>
      </c>
      <c r="B13" s="12" t="inlineStr">
        <is>
          <t>02</t>
        </is>
      </c>
      <c r="C13" s="27" t="inlineStr">
        <is>
          <t>Voices of Pearson Toastmasters Club</t>
        </is>
      </c>
      <c r="D13" s="8">
        <f>ClubDetails!G38</f>
        <v/>
      </c>
      <c r="E13" s="8">
        <f>ClubDetails!H38</f>
        <v/>
      </c>
      <c r="F13" s="8">
        <f>ClubDetails!I38</f>
        <v/>
      </c>
      <c r="G13" s="12">
        <f>IF(F13&lt;5,"-",IF(E13&gt;19,"Yes",IF(E13&gt;D13+2,"Yes","-")))</f>
        <v/>
      </c>
      <c r="H13" s="8">
        <f>ClubDetails!K38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ClubDetails!L38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ClubDetails!M38</f>
        <v/>
      </c>
      <c r="O13" s="8">
        <f>ClubDetails!J38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28678746</v>
      </c>
      <c r="B14" s="12" t="inlineStr">
        <is>
          <t>02</t>
        </is>
      </c>
      <c r="C14" s="27" t="inlineStr">
        <is>
          <t>The Orator's Society</t>
        </is>
      </c>
      <c r="D14" s="8">
        <f>ClubDetails!G39</f>
        <v/>
      </c>
      <c r="E14" s="8">
        <f>ClubDetails!H39</f>
        <v/>
      </c>
      <c r="F14" s="8">
        <f>ClubDetails!I39</f>
        <v/>
      </c>
      <c r="G14" s="12">
        <f>IF(F14&lt;5,"-",IF(E14&gt;19,"Yes",IF(E14&gt;D14+2,"Yes","-")))</f>
        <v/>
      </c>
      <c r="H14" s="8">
        <f>ClubDetails!K39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ClubDetails!L39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ClubDetails!M39</f>
        <v/>
      </c>
      <c r="O14" s="8">
        <f>ClubDetails!J39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6975394</v>
      </c>
      <c r="B15" s="12" t="inlineStr">
        <is>
          <t>03</t>
        </is>
      </c>
      <c r="C15" s="27" t="inlineStr">
        <is>
          <t>Toastmasters of HP</t>
        </is>
      </c>
      <c r="D15" s="8">
        <f>ClubDetails!G40</f>
        <v/>
      </c>
      <c r="E15" s="8">
        <f>ClubDetails!H40</f>
        <v/>
      </c>
      <c r="F15" s="8">
        <f>ClubDetails!I40</f>
        <v/>
      </c>
      <c r="G15" s="12">
        <f>IF(F15&lt;5,"-",IF(E15&gt;19,"Yes",IF(E15&gt;D15+2,"Yes","-")))</f>
        <v/>
      </c>
      <c r="H15" s="8">
        <f>ClubDetails!K40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ClubDetails!L40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ClubDetails!M40</f>
        <v/>
      </c>
      <c r="O15" s="8">
        <f>ClubDetails!J40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7908984</v>
      </c>
      <c r="B16" s="12" t="inlineStr">
        <is>
          <t>03</t>
        </is>
      </c>
      <c r="C16" s="27" t="inlineStr">
        <is>
          <t>RCB Griffin</t>
        </is>
      </c>
      <c r="D16" s="8">
        <f>ClubDetails!G41</f>
        <v/>
      </c>
      <c r="E16" s="8">
        <f>ClubDetails!H41</f>
        <v/>
      </c>
      <c r="F16" s="8">
        <f>ClubDetails!I41</f>
        <v/>
      </c>
      <c r="G16" s="12">
        <f>IF(F16&lt;5,"-",IF(E16&gt;19,"Yes",IF(E16&gt;D16+2,"Yes","-")))</f>
        <v/>
      </c>
      <c r="H16" s="8">
        <f>ClubDetails!K41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ClubDetails!L41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ClubDetails!M41</f>
        <v/>
      </c>
      <c r="O16" s="8">
        <f>ClubDetails!J41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7908988</v>
      </c>
      <c r="B17" s="12" t="inlineStr">
        <is>
          <t>03</t>
        </is>
      </c>
      <c r="C17" s="27" t="inlineStr">
        <is>
          <t>RCB Pegasus</t>
        </is>
      </c>
      <c r="D17" s="8">
        <f>ClubDetails!G42</f>
        <v/>
      </c>
      <c r="E17" s="8">
        <f>ClubDetails!H42</f>
        <v/>
      </c>
      <c r="F17" s="8">
        <f>ClubDetails!I42</f>
        <v/>
      </c>
      <c r="G17" s="12">
        <f>IF(F17&lt;5,"-",IF(E17&gt;19,"Yes",IF(E17&gt;D17+2,"Yes","-")))</f>
        <v/>
      </c>
      <c r="H17" s="8">
        <f>ClubDetails!K42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ClubDetails!L42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ClubDetails!M42</f>
        <v/>
      </c>
      <c r="O17" s="8">
        <f>ClubDetails!J42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7908991</v>
      </c>
      <c r="B18" s="12" t="inlineStr">
        <is>
          <t>03</t>
        </is>
      </c>
      <c r="C18" s="27" t="inlineStr">
        <is>
          <t>RCB Phoenix</t>
        </is>
      </c>
      <c r="D18" s="8">
        <f>ClubDetails!G43</f>
        <v/>
      </c>
      <c r="E18" s="8">
        <f>ClubDetails!H43</f>
        <v/>
      </c>
      <c r="F18" s="8">
        <f>ClubDetails!I43</f>
        <v/>
      </c>
      <c r="G18" s="12">
        <f>IF(F18&lt;5,"-",IF(E18&gt;19,"Yes",IF(E18&gt;D18+2,"Yes","-")))</f>
        <v/>
      </c>
      <c r="H18" s="8">
        <f>ClubDetails!K43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ClubDetails!L43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ClubDetails!M43</f>
        <v/>
      </c>
      <c r="O18" s="8">
        <f>ClubDetails!J43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28678996</v>
      </c>
      <c r="B19" s="12" t="inlineStr">
        <is>
          <t>03</t>
        </is>
      </c>
      <c r="C19" s="27" t="inlineStr">
        <is>
          <t>Paychex Catalyst Crew 1</t>
        </is>
      </c>
      <c r="D19" s="8">
        <f>ClubDetails!G44</f>
        <v/>
      </c>
      <c r="E19" s="8">
        <f>ClubDetails!H44</f>
        <v/>
      </c>
      <c r="F19" s="8">
        <f>ClubDetails!I44</f>
        <v/>
      </c>
      <c r="G19" s="12">
        <f>IF(F19&lt;5,"-",IF(E19&gt;19,"Yes",IF(E19&gt;D19+2,"Yes","-")))</f>
        <v/>
      </c>
      <c r="H19" s="8">
        <f>ClubDetails!K44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ClubDetails!L44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ClubDetails!M44</f>
        <v/>
      </c>
      <c r="O19" s="8">
        <f>ClubDetails!J44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28679255</v>
      </c>
      <c r="B20" s="12" t="inlineStr">
        <is>
          <t>03</t>
        </is>
      </c>
      <c r="C20" s="27" t="inlineStr">
        <is>
          <t>Aurigo Toastbusters</t>
        </is>
      </c>
      <c r="D20" s="8">
        <f>ClubDetails!G45</f>
        <v/>
      </c>
      <c r="E20" s="8">
        <f>ClubDetails!H45</f>
        <v/>
      </c>
      <c r="F20" s="8">
        <f>ClubDetails!I45</f>
        <v/>
      </c>
      <c r="G20" s="12">
        <f>IF(F20&lt;5,"-",IF(E20&gt;19,"Yes",IF(E20&gt;D20+2,"Yes","-")))</f>
        <v/>
      </c>
      <c r="H20" s="8">
        <f>ClubDetails!K45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ClubDetails!L45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ClubDetails!M45</f>
        <v/>
      </c>
      <c r="O20" s="8">
        <f>ClubDetails!J45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5868577</v>
      </c>
      <c r="B21" s="12" t="inlineStr">
        <is>
          <t>04</t>
        </is>
      </c>
      <c r="C21" s="27" t="inlineStr">
        <is>
          <t>Bosch Raconteurs</t>
        </is>
      </c>
      <c r="D21" s="8">
        <f>ClubDetails!G46</f>
        <v/>
      </c>
      <c r="E21" s="8">
        <f>ClubDetails!H46</f>
        <v/>
      </c>
      <c r="F21" s="8">
        <f>ClubDetails!I46</f>
        <v/>
      </c>
      <c r="G21" s="12">
        <f>IF(F21&lt;5,"-",IF(E21&gt;19,"Yes",IF(E21&gt;D21+2,"Yes","-")))</f>
        <v/>
      </c>
      <c r="H21" s="8">
        <f>ClubDetails!K46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ClubDetails!L46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ClubDetails!M46</f>
        <v/>
      </c>
      <c r="O21" s="8">
        <f>ClubDetails!J46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5998569</v>
      </c>
      <c r="B22" s="12" t="inlineStr">
        <is>
          <t>04</t>
        </is>
      </c>
      <c r="C22" s="27" t="inlineStr">
        <is>
          <t>BMC Bengaluru Toastmasters Club</t>
        </is>
      </c>
      <c r="D22" s="8">
        <f>ClubDetails!G47</f>
        <v/>
      </c>
      <c r="E22" s="8">
        <f>ClubDetails!H47</f>
        <v/>
      </c>
      <c r="F22" s="8">
        <f>ClubDetails!I47</f>
        <v/>
      </c>
      <c r="G22" s="12">
        <f>IF(F22&lt;5,"-",IF(E22&gt;19,"Yes",IF(E22&gt;D22+2,"Yes","-")))</f>
        <v/>
      </c>
      <c r="H22" s="8">
        <f>ClubDetails!K47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ClubDetails!L47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ClubDetails!M47</f>
        <v/>
      </c>
      <c r="O22" s="8">
        <f>ClubDetails!J47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7934414</v>
      </c>
      <c r="B23" s="12" t="inlineStr">
        <is>
          <t>04</t>
        </is>
      </c>
      <c r="C23" s="27" t="inlineStr">
        <is>
          <t>V R Advanced Toastmasters</t>
        </is>
      </c>
      <c r="D23" s="8">
        <f>ClubDetails!G48</f>
        <v/>
      </c>
      <c r="E23" s="8">
        <f>ClubDetails!H48</f>
        <v/>
      </c>
      <c r="F23" s="8">
        <f>ClubDetails!I48</f>
        <v/>
      </c>
      <c r="G23" s="12">
        <f>IF(F23&lt;5,"-",IF(E23&gt;19,"Yes",IF(E23&gt;D23+2,"Yes","-")))</f>
        <v/>
      </c>
      <c r="H23" s="8">
        <f>ClubDetails!K48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ClubDetails!L48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ClubDetails!M48</f>
        <v/>
      </c>
      <c r="O23" s="8">
        <f>ClubDetails!J48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28677046</v>
      </c>
      <c r="B24" s="12" t="inlineStr">
        <is>
          <t>04</t>
        </is>
      </c>
      <c r="C24" s="27" t="inlineStr">
        <is>
          <t>Bosch Adugodi</t>
        </is>
      </c>
      <c r="D24" s="8">
        <f>ClubDetails!G49</f>
        <v/>
      </c>
      <c r="E24" s="8">
        <f>ClubDetails!H49</f>
        <v/>
      </c>
      <c r="F24" s="8">
        <f>ClubDetails!I49</f>
        <v/>
      </c>
      <c r="G24" s="12">
        <f>IF(F24&lt;5,"-",IF(E24&gt;19,"Yes",IF(E24&gt;D24+2,"Yes","-")))</f>
        <v/>
      </c>
      <c r="H24" s="8">
        <f>ClubDetails!K49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ClubDetails!L49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ClubDetails!M49</f>
        <v/>
      </c>
      <c r="O24" s="8">
        <f>ClubDetails!J49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24" t="inlineStr">
        <is>
          <t>Total / Average</t>
        </is>
      </c>
      <c r="B25" s="26" t="inlineStr"/>
      <c r="C25" s="26" t="inlineStr"/>
      <c r="D25" s="7">
        <f>SUM(D4:D24)</f>
        <v/>
      </c>
      <c r="E25" s="7">
        <f>SUM(E4:E24)</f>
        <v/>
      </c>
      <c r="F25" s="29">
        <f>AVERAGE(F4:F24)</f>
        <v/>
      </c>
      <c r="G25" s="30">
        <f>COUNTIF(G4:G24,"Yes")</f>
        <v/>
      </c>
      <c r="H25" s="7">
        <f>SUM(H4:H24)</f>
        <v/>
      </c>
      <c r="I25" s="25">
        <f>IF(D25=0,0,H25/D25)</f>
        <v/>
      </c>
      <c r="J25" s="30" t="inlineStr"/>
      <c r="K25" s="7">
        <f>SUM(K4:K24)</f>
        <v/>
      </c>
      <c r="L25" s="25">
        <f>IF(D25=0,0,K25/D25)</f>
        <v/>
      </c>
      <c r="M25" s="30" t="inlineStr"/>
      <c r="N25" s="7">
        <f>SUM(N4:N24)</f>
        <v/>
      </c>
      <c r="O25" s="7">
        <f>SUM(O4:O24)</f>
        <v/>
      </c>
      <c r="P25" s="7">
        <f>SUM(P4:P24)</f>
        <v/>
      </c>
      <c r="Q25" s="7">
        <f>SUM(Q4:Q24)</f>
        <v/>
      </c>
      <c r="R25" s="7">
        <f>SUM(R4:R24)</f>
        <v/>
      </c>
      <c r="S25" s="7">
        <f>SUM(S4:S24)</f>
        <v/>
      </c>
      <c r="T25" s="7">
        <f>SUM(T4:T24)</f>
        <v/>
      </c>
      <c r="U25" s="7">
        <f>SUM(U4:U24)</f>
        <v/>
      </c>
      <c r="V25" s="7">
        <f>SUM(V4:V24)</f>
        <v/>
      </c>
      <c r="W25" s="7">
        <f>SUM(W4:W24)</f>
        <v/>
      </c>
      <c r="X25" s="7">
        <f>SUM(X4:X24)</f>
        <v/>
      </c>
      <c r="Y25" s="7">
        <f>SUM(Y4:Y24)</f>
        <v/>
      </c>
      <c r="Z25" s="7">
        <f>SUM(Z4:Z24)</f>
        <v/>
      </c>
      <c r="AA25" s="7">
        <f>SUM(AA4:AA24)</f>
        <v/>
      </c>
      <c r="AB25" s="30">
        <f>COUNTIF(AB4:AB24,"Yes")</f>
        <v/>
      </c>
      <c r="AC25" s="7">
        <f>SUM(AC4:AC24)</f>
        <v/>
      </c>
      <c r="AD25" s="30">
        <f>COUNTIF(AD4:AD24,"Yes")</f>
        <v/>
      </c>
      <c r="AE25" s="7">
        <f>SUM(AE4:AE24)</f>
        <v/>
      </c>
      <c r="AF25" s="30">
        <f>COUNTIF(AF4:AF24,"Yes")</f>
        <v/>
      </c>
      <c r="AG25" s="7">
        <f>SUM(AG4:AG24)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1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C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1389390</v>
      </c>
      <c r="B4" s="12" t="inlineStr">
        <is>
          <t>01</t>
        </is>
      </c>
      <c r="C4" s="27" t="inlineStr">
        <is>
          <t>IIMB Orators Club</t>
        </is>
      </c>
      <c r="D4" s="8">
        <f>ClubDetails!G50</f>
        <v/>
      </c>
      <c r="E4" s="8">
        <f>ClubDetails!H50</f>
        <v/>
      </c>
      <c r="F4" s="8">
        <f>ClubDetails!I50</f>
        <v/>
      </c>
      <c r="G4" s="12">
        <f>IF(F4&lt;5,"-",IF(E4&gt;19,"Yes",IF(E4&gt;D4+2,"Yes","-")))</f>
        <v/>
      </c>
      <c r="H4" s="8">
        <f>ClubDetails!K50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ClubDetails!L50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ClubDetails!M50</f>
        <v/>
      </c>
      <c r="O4" s="8">
        <f>ClubDetails!J50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7514725</v>
      </c>
      <c r="B5" s="12" t="inlineStr">
        <is>
          <t>01</t>
        </is>
      </c>
      <c r="C5" s="27" t="inlineStr">
        <is>
          <t>LKQI Toastmasters Club</t>
        </is>
      </c>
      <c r="D5" s="8">
        <f>ClubDetails!G51</f>
        <v/>
      </c>
      <c r="E5" s="8">
        <f>ClubDetails!H51</f>
        <v/>
      </c>
      <c r="F5" s="8">
        <f>ClubDetails!I51</f>
        <v/>
      </c>
      <c r="G5" s="12">
        <f>IF(F5&lt;5,"-",IF(E5&gt;19,"Yes",IF(E5&gt;D5+2,"Yes","-")))</f>
        <v/>
      </c>
      <c r="H5" s="8">
        <f>ClubDetails!K51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ClubDetails!L51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ClubDetails!M51</f>
        <v/>
      </c>
      <c r="O5" s="8">
        <f>ClubDetails!J51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7762021</v>
      </c>
      <c r="B6" s="12" t="inlineStr">
        <is>
          <t>01</t>
        </is>
      </c>
      <c r="C6" s="27" t="inlineStr">
        <is>
          <t>Christ Toastmasters Club</t>
        </is>
      </c>
      <c r="D6" s="8">
        <f>ClubDetails!G52</f>
        <v/>
      </c>
      <c r="E6" s="8">
        <f>ClubDetails!H52</f>
        <v/>
      </c>
      <c r="F6" s="8">
        <f>ClubDetails!I52</f>
        <v/>
      </c>
      <c r="G6" s="12">
        <f>IF(F6&lt;5,"-",IF(E6&gt;19,"Yes",IF(E6&gt;D6+2,"Yes","-")))</f>
        <v/>
      </c>
      <c r="H6" s="8">
        <f>ClubDetails!K52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ClubDetails!L52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ClubDetails!M52</f>
        <v/>
      </c>
      <c r="O6" s="8">
        <f>ClubDetails!J52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28678373</v>
      </c>
      <c r="B7" s="12" t="inlineStr">
        <is>
          <t>01</t>
        </is>
      </c>
      <c r="C7" s="27" t="inlineStr">
        <is>
          <t>Sense-say-tional Toastmasters</t>
        </is>
      </c>
      <c r="D7" s="8">
        <f>ClubDetails!G53</f>
        <v/>
      </c>
      <c r="E7" s="8">
        <f>ClubDetails!H53</f>
        <v/>
      </c>
      <c r="F7" s="8">
        <f>ClubDetails!I53</f>
        <v/>
      </c>
      <c r="G7" s="12">
        <f>IF(F7&lt;5,"-",IF(E7&gt;19,"Yes",IF(E7&gt;D7+2,"Yes","-")))</f>
        <v/>
      </c>
      <c r="H7" s="8">
        <f>ClubDetails!K53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ClubDetails!L53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ClubDetails!M53</f>
        <v/>
      </c>
      <c r="O7" s="8">
        <f>ClubDetails!J53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9639</v>
      </c>
      <c r="B8" s="12" t="inlineStr">
        <is>
          <t>02</t>
        </is>
      </c>
      <c r="C8" s="27" t="inlineStr">
        <is>
          <t>Mecon Communication Club</t>
        </is>
      </c>
      <c r="D8" s="8">
        <f>ClubDetails!G54</f>
        <v/>
      </c>
      <c r="E8" s="8">
        <f>ClubDetails!H54</f>
        <v/>
      </c>
      <c r="F8" s="8">
        <f>ClubDetails!I54</f>
        <v/>
      </c>
      <c r="G8" s="12">
        <f>IF(F8&lt;5,"-",IF(E8&gt;19,"Yes",IF(E8&gt;D8+2,"Yes","-")))</f>
        <v/>
      </c>
      <c r="H8" s="8">
        <f>ClubDetails!K54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ClubDetails!L54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ClubDetails!M54</f>
        <v/>
      </c>
      <c r="O8" s="8">
        <f>ClubDetails!J54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4329635</v>
      </c>
      <c r="B9" s="12" t="inlineStr">
        <is>
          <t>02</t>
        </is>
      </c>
      <c r="C9" s="27" t="inlineStr">
        <is>
          <t>Tarento India Toastmasters Club</t>
        </is>
      </c>
      <c r="D9" s="8">
        <f>ClubDetails!G55</f>
        <v/>
      </c>
      <c r="E9" s="8">
        <f>ClubDetails!H55</f>
        <v/>
      </c>
      <c r="F9" s="8">
        <f>ClubDetails!I55</f>
        <v/>
      </c>
      <c r="G9" s="12">
        <f>IF(F9&lt;5,"-",IF(E9&gt;19,"Yes",IF(E9&gt;D9+2,"Yes","-")))</f>
        <v/>
      </c>
      <c r="H9" s="8">
        <f>ClubDetails!K55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ClubDetails!L55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ClubDetails!M55</f>
        <v/>
      </c>
      <c r="O9" s="8">
        <f>ClubDetails!J55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6584495</v>
      </c>
      <c r="B10" s="12" t="inlineStr">
        <is>
          <t>02</t>
        </is>
      </c>
      <c r="C10" s="27" t="inlineStr">
        <is>
          <t>The Impressions</t>
        </is>
      </c>
      <c r="D10" s="8">
        <f>ClubDetails!G56</f>
        <v/>
      </c>
      <c r="E10" s="8">
        <f>ClubDetails!H56</f>
        <v/>
      </c>
      <c r="F10" s="8">
        <f>ClubDetails!I56</f>
        <v/>
      </c>
      <c r="G10" s="12">
        <f>IF(F10&lt;5,"-",IF(E10&gt;19,"Yes",IF(E10&gt;D10+2,"Yes","-")))</f>
        <v/>
      </c>
      <c r="H10" s="8">
        <f>ClubDetails!K56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ClubDetails!L56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ClubDetails!M56</f>
        <v/>
      </c>
      <c r="O10" s="8">
        <f>ClubDetails!J56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28675687</v>
      </c>
      <c r="B11" s="12" t="inlineStr">
        <is>
          <t>02</t>
        </is>
      </c>
      <c r="C11" s="27" t="inlineStr">
        <is>
          <t>School of Commerce, Jain University Toastmasters</t>
        </is>
      </c>
      <c r="D11" s="8">
        <f>ClubDetails!G57</f>
        <v/>
      </c>
      <c r="E11" s="8">
        <f>ClubDetails!H57</f>
        <v/>
      </c>
      <c r="F11" s="8">
        <f>ClubDetails!I57</f>
        <v/>
      </c>
      <c r="G11" s="12">
        <f>IF(F11&lt;5,"-",IF(E11&gt;19,"Yes",IF(E11&gt;D11+2,"Yes","-")))</f>
        <v/>
      </c>
      <c r="H11" s="8">
        <f>ClubDetails!K57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ClubDetails!L57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ClubDetails!M57</f>
        <v/>
      </c>
      <c r="O11" s="8">
        <f>ClubDetails!J57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2188958</v>
      </c>
      <c r="B12" s="12" t="inlineStr">
        <is>
          <t>03</t>
        </is>
      </c>
      <c r="C12" s="27" t="inlineStr">
        <is>
          <t>Koramangala Toastmasters Club</t>
        </is>
      </c>
      <c r="D12" s="8">
        <f>ClubDetails!G58</f>
        <v/>
      </c>
      <c r="E12" s="8">
        <f>ClubDetails!H58</f>
        <v/>
      </c>
      <c r="F12" s="8">
        <f>ClubDetails!I58</f>
        <v/>
      </c>
      <c r="G12" s="12">
        <f>IF(F12&lt;5,"-",IF(E12&gt;19,"Yes",IF(E12&gt;D12+2,"Yes","-")))</f>
        <v/>
      </c>
      <c r="H12" s="8">
        <f>ClubDetails!K58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ClubDetails!L58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ClubDetails!M58</f>
        <v/>
      </c>
      <c r="O12" s="8">
        <f>ClubDetails!J58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6636162</v>
      </c>
      <c r="B13" s="12" t="inlineStr">
        <is>
          <t>03</t>
        </is>
      </c>
      <c r="C13" s="27" t="inlineStr">
        <is>
          <t>BTM Toastmasters Club</t>
        </is>
      </c>
      <c r="D13" s="8">
        <f>ClubDetails!G59</f>
        <v/>
      </c>
      <c r="E13" s="8">
        <f>ClubDetails!H59</f>
        <v/>
      </c>
      <c r="F13" s="8">
        <f>ClubDetails!I59</f>
        <v/>
      </c>
      <c r="G13" s="12">
        <f>IF(F13&lt;5,"-",IF(E13&gt;19,"Yes",IF(E13&gt;D13+2,"Yes","-")))</f>
        <v/>
      </c>
      <c r="H13" s="8">
        <f>ClubDetails!K59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ClubDetails!L59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ClubDetails!M59</f>
        <v/>
      </c>
      <c r="O13" s="8">
        <f>ClubDetails!J59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6636175</v>
      </c>
      <c r="B14" s="12" t="inlineStr">
        <is>
          <t>03</t>
        </is>
      </c>
      <c r="C14" s="27" t="inlineStr">
        <is>
          <t>Clinisys Toastmasters Club</t>
        </is>
      </c>
      <c r="D14" s="8">
        <f>ClubDetails!G60</f>
        <v/>
      </c>
      <c r="E14" s="8">
        <f>ClubDetails!H60</f>
        <v/>
      </c>
      <c r="F14" s="8">
        <f>ClubDetails!I60</f>
        <v/>
      </c>
      <c r="G14" s="12">
        <f>IF(F14&lt;5,"-",IF(E14&gt;19,"Yes",IF(E14&gt;D14+2,"Yes","-")))</f>
        <v/>
      </c>
      <c r="H14" s="8">
        <f>ClubDetails!K60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ClubDetails!L60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ClubDetails!M60</f>
        <v/>
      </c>
      <c r="O14" s="8">
        <f>ClubDetails!J60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28676357</v>
      </c>
      <c r="B15" s="12" t="inlineStr">
        <is>
          <t>03</t>
        </is>
      </c>
      <c r="C15" s="27" t="inlineStr">
        <is>
          <t>Ascend Trailblazers Toastmasters Club</t>
        </is>
      </c>
      <c r="D15" s="8">
        <f>ClubDetails!G61</f>
        <v/>
      </c>
      <c r="E15" s="8">
        <f>ClubDetails!H61</f>
        <v/>
      </c>
      <c r="F15" s="8">
        <f>ClubDetails!I61</f>
        <v/>
      </c>
      <c r="G15" s="12">
        <f>IF(F15&lt;5,"-",IF(E15&gt;19,"Yes",IF(E15&gt;D15+2,"Yes","-")))</f>
        <v/>
      </c>
      <c r="H15" s="8">
        <f>ClubDetails!K61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ClubDetails!L61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ClubDetails!M61</f>
        <v/>
      </c>
      <c r="O15" s="8">
        <f>ClubDetails!J61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28678910</v>
      </c>
      <c r="B16" s="12" t="inlineStr">
        <is>
          <t>03</t>
        </is>
      </c>
      <c r="C16" s="27" t="inlineStr">
        <is>
          <t>Furlenco Toastmasters Club</t>
        </is>
      </c>
      <c r="D16" s="8">
        <f>ClubDetails!G62</f>
        <v/>
      </c>
      <c r="E16" s="8">
        <f>ClubDetails!H62</f>
        <v/>
      </c>
      <c r="F16" s="8">
        <f>ClubDetails!I62</f>
        <v/>
      </c>
      <c r="G16" s="12">
        <f>IF(F16&lt;5,"-",IF(E16&gt;19,"Yes",IF(E16&gt;D16+2,"Yes","-")))</f>
        <v/>
      </c>
      <c r="H16" s="8">
        <f>ClubDetails!K62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ClubDetails!L62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ClubDetails!M62</f>
        <v/>
      </c>
      <c r="O16" s="8">
        <f>ClubDetails!J62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28680500</v>
      </c>
      <c r="B17" s="12" t="inlineStr">
        <is>
          <t>03</t>
        </is>
      </c>
      <c r="C17" s="27" t="inlineStr">
        <is>
          <t>eGov Toastmasters Club</t>
        </is>
      </c>
      <c r="D17" s="8">
        <f>ClubDetails!G63</f>
        <v/>
      </c>
      <c r="E17" s="8">
        <f>ClubDetails!H63</f>
        <v/>
      </c>
      <c r="F17" s="8">
        <f>ClubDetails!I63</f>
        <v/>
      </c>
      <c r="G17" s="12">
        <f>IF(F17&lt;5,"-",IF(E17&gt;19,"Yes",IF(E17&gt;D17+2,"Yes","-")))</f>
        <v/>
      </c>
      <c r="H17" s="8">
        <f>ClubDetails!K63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ClubDetails!L63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ClubDetails!M63</f>
        <v/>
      </c>
      <c r="O17" s="8">
        <f>ClubDetails!J63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4410336</v>
      </c>
      <c r="B18" s="12" t="inlineStr">
        <is>
          <t>04</t>
        </is>
      </c>
      <c r="C18" s="27" t="inlineStr">
        <is>
          <t>Dhwani Toastmasters</t>
        </is>
      </c>
      <c r="D18" s="8">
        <f>ClubDetails!G64</f>
        <v/>
      </c>
      <c r="E18" s="8">
        <f>ClubDetails!H64</f>
        <v/>
      </c>
      <c r="F18" s="8">
        <f>ClubDetails!I64</f>
        <v/>
      </c>
      <c r="G18" s="12">
        <f>IF(F18&lt;5,"-",IF(E18&gt;19,"Yes",IF(E18&gt;D18+2,"Yes","-")))</f>
        <v/>
      </c>
      <c r="H18" s="8">
        <f>ClubDetails!K64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ClubDetails!L64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ClubDetails!M64</f>
        <v/>
      </c>
      <c r="O18" s="8">
        <f>ClubDetails!J64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7502654</v>
      </c>
      <c r="B19" s="12" t="inlineStr">
        <is>
          <t>04</t>
        </is>
      </c>
      <c r="C19" s="27" t="inlineStr">
        <is>
          <t>Transcend Toastmasters Club</t>
        </is>
      </c>
      <c r="D19" s="8">
        <f>ClubDetails!G65</f>
        <v/>
      </c>
      <c r="E19" s="8">
        <f>ClubDetails!H65</f>
        <v/>
      </c>
      <c r="F19" s="8">
        <f>ClubDetails!I65</f>
        <v/>
      </c>
      <c r="G19" s="12">
        <f>IF(F19&lt;5,"-",IF(E19&gt;19,"Yes",IF(E19&gt;D19+2,"Yes","-")))</f>
        <v/>
      </c>
      <c r="H19" s="8">
        <f>ClubDetails!K65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ClubDetails!L65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ClubDetails!M65</f>
        <v/>
      </c>
      <c r="O19" s="8">
        <f>ClubDetails!J65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7856506</v>
      </c>
      <c r="B20" s="12" t="inlineStr">
        <is>
          <t>04</t>
        </is>
      </c>
      <c r="C20" s="27" t="inlineStr">
        <is>
          <t>Transcend Toastmasters Club - 2</t>
        </is>
      </c>
      <c r="D20" s="8">
        <f>ClubDetails!G66</f>
        <v/>
      </c>
      <c r="E20" s="8">
        <f>ClubDetails!H66</f>
        <v/>
      </c>
      <c r="F20" s="8">
        <f>ClubDetails!I66</f>
        <v/>
      </c>
      <c r="G20" s="12">
        <f>IF(F20&lt;5,"-",IF(E20&gt;19,"Yes",IF(E20&gt;D20+2,"Yes","-")))</f>
        <v/>
      </c>
      <c r="H20" s="8">
        <f>ClubDetails!K66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ClubDetails!L66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ClubDetails!M66</f>
        <v/>
      </c>
      <c r="O20" s="8">
        <f>ClubDetails!J66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7962666</v>
      </c>
      <c r="B21" s="12" t="inlineStr">
        <is>
          <t>04</t>
        </is>
      </c>
      <c r="C21" s="27" t="inlineStr">
        <is>
          <t>Transcend Toastmasters Club 3</t>
        </is>
      </c>
      <c r="D21" s="8">
        <f>ClubDetails!G67</f>
        <v/>
      </c>
      <c r="E21" s="8">
        <f>ClubDetails!H67</f>
        <v/>
      </c>
      <c r="F21" s="8">
        <f>ClubDetails!I67</f>
        <v/>
      </c>
      <c r="G21" s="12">
        <f>IF(F21&lt;5,"-",IF(E21&gt;19,"Yes",IF(E21&gt;D21+2,"Yes","-")))</f>
        <v/>
      </c>
      <c r="H21" s="8">
        <f>ClubDetails!K67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ClubDetails!L67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ClubDetails!M67</f>
        <v/>
      </c>
      <c r="O21" s="8">
        <f>ClubDetails!J67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24" t="inlineStr">
        <is>
          <t>Total / Average</t>
        </is>
      </c>
      <c r="B22" s="26" t="inlineStr"/>
      <c r="C22" s="26" t="inlineStr"/>
      <c r="D22" s="7">
        <f>SUM(D4:D21)</f>
        <v/>
      </c>
      <c r="E22" s="7">
        <f>SUM(E4:E21)</f>
        <v/>
      </c>
      <c r="F22" s="29">
        <f>AVERAGE(F4:F21)</f>
        <v/>
      </c>
      <c r="G22" s="30">
        <f>COUNTIF(G4:G21,"Yes")</f>
        <v/>
      </c>
      <c r="H22" s="7">
        <f>SUM(H4:H21)</f>
        <v/>
      </c>
      <c r="I22" s="25">
        <f>IF(D22=0,0,H22/D22)</f>
        <v/>
      </c>
      <c r="J22" s="30" t="inlineStr"/>
      <c r="K22" s="7">
        <f>SUM(K4:K21)</f>
        <v/>
      </c>
      <c r="L22" s="25">
        <f>IF(D22=0,0,K22/D22)</f>
        <v/>
      </c>
      <c r="M22" s="30" t="inlineStr"/>
      <c r="N22" s="7">
        <f>SUM(N4:N21)</f>
        <v/>
      </c>
      <c r="O22" s="7">
        <f>SUM(O4:O21)</f>
        <v/>
      </c>
      <c r="P22" s="7">
        <f>SUM(P4:P21)</f>
        <v/>
      </c>
      <c r="Q22" s="7">
        <f>SUM(Q4:Q21)</f>
        <v/>
      </c>
      <c r="R22" s="7">
        <f>SUM(R4:R21)</f>
        <v/>
      </c>
      <c r="S22" s="7">
        <f>SUM(S4:S21)</f>
        <v/>
      </c>
      <c r="T22" s="7">
        <f>SUM(T4:T21)</f>
        <v/>
      </c>
      <c r="U22" s="7">
        <f>SUM(U4:U21)</f>
        <v/>
      </c>
      <c r="V22" s="7">
        <f>SUM(V4:V21)</f>
        <v/>
      </c>
      <c r="W22" s="7">
        <f>SUM(W4:W21)</f>
        <v/>
      </c>
      <c r="X22" s="7">
        <f>SUM(X4:X21)</f>
        <v/>
      </c>
      <c r="Y22" s="7">
        <f>SUM(Y4:Y21)</f>
        <v/>
      </c>
      <c r="Z22" s="7">
        <f>SUM(Z4:Z21)</f>
        <v/>
      </c>
      <c r="AA22" s="7">
        <f>SUM(AA4:AA21)</f>
        <v/>
      </c>
      <c r="AB22" s="30">
        <f>COUNTIF(AB4:AB21,"Yes")</f>
        <v/>
      </c>
      <c r="AC22" s="7">
        <f>SUM(AC4:AC21)</f>
        <v/>
      </c>
      <c r="AD22" s="30">
        <f>COUNTIF(AD4:AD21,"Yes")</f>
        <v/>
      </c>
      <c r="AE22" s="7">
        <f>SUM(AE4:AE21)</f>
        <v/>
      </c>
      <c r="AF22" s="30">
        <f>COUNTIF(AF4:AF21,"Yes")</f>
        <v/>
      </c>
      <c r="AG22" s="7">
        <f>SUM(AG4:AG21)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0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D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3984104</v>
      </c>
      <c r="B4" s="12" t="inlineStr">
        <is>
          <t>01</t>
        </is>
      </c>
      <c r="C4" s="27" t="inlineStr">
        <is>
          <t>Calicut Toastmasters</t>
        </is>
      </c>
      <c r="D4" s="8">
        <f>ClubDetails!G68</f>
        <v/>
      </c>
      <c r="E4" s="8">
        <f>ClubDetails!H68</f>
        <v/>
      </c>
      <c r="F4" s="8">
        <f>ClubDetails!I68</f>
        <v/>
      </c>
      <c r="G4" s="12">
        <f>IF(F4&lt;5,"-",IF(E4&gt;19,"Yes",IF(E4&gt;D4+2,"Yes","-")))</f>
        <v/>
      </c>
      <c r="H4" s="8">
        <f>ClubDetails!K68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ClubDetails!L68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ClubDetails!M68</f>
        <v/>
      </c>
      <c r="O4" s="8">
        <f>ClubDetails!J68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6750919</v>
      </c>
      <c r="B5" s="12" t="inlineStr">
        <is>
          <t>01</t>
        </is>
      </c>
      <c r="C5" s="27" t="inlineStr">
        <is>
          <t>Kannur Toastmasters Club</t>
        </is>
      </c>
      <c r="D5" s="8">
        <f>ClubDetails!G69</f>
        <v/>
      </c>
      <c r="E5" s="8">
        <f>ClubDetails!H69</f>
        <v/>
      </c>
      <c r="F5" s="8">
        <f>ClubDetails!I69</f>
        <v/>
      </c>
      <c r="G5" s="12">
        <f>IF(F5&lt;5,"-",IF(E5&gt;19,"Yes",IF(E5&gt;D5+2,"Yes","-")))</f>
        <v/>
      </c>
      <c r="H5" s="8">
        <f>ClubDetails!K69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ClubDetails!L69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ClubDetails!M69</f>
        <v/>
      </c>
      <c r="O5" s="8">
        <f>ClubDetails!J69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28675444</v>
      </c>
      <c r="B6" s="12" t="inlineStr">
        <is>
          <t>01</t>
        </is>
      </c>
      <c r="C6" s="27" t="inlineStr">
        <is>
          <t>Advanced Debate Club</t>
        </is>
      </c>
      <c r="D6" s="8">
        <f>ClubDetails!G70</f>
        <v/>
      </c>
      <c r="E6" s="8">
        <f>ClubDetails!H70</f>
        <v/>
      </c>
      <c r="F6" s="8">
        <f>ClubDetails!I70</f>
        <v/>
      </c>
      <c r="G6" s="12">
        <f>IF(F6&lt;5,"-",IF(E6&gt;19,"Yes",IF(E6&gt;D6+2,"Yes","-")))</f>
        <v/>
      </c>
      <c r="H6" s="8">
        <f>ClubDetails!K70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ClubDetails!L70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ClubDetails!M70</f>
        <v/>
      </c>
      <c r="O6" s="8">
        <f>ClubDetails!J70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28676179</v>
      </c>
      <c r="B7" s="12" t="inlineStr">
        <is>
          <t>01</t>
        </is>
      </c>
      <c r="C7" s="27" t="inlineStr">
        <is>
          <t>Malabar Toastmasters Club</t>
        </is>
      </c>
      <c r="D7" s="8">
        <f>ClubDetails!G71</f>
        <v/>
      </c>
      <c r="E7" s="8">
        <f>ClubDetails!H71</f>
        <v/>
      </c>
      <c r="F7" s="8">
        <f>ClubDetails!I71</f>
        <v/>
      </c>
      <c r="G7" s="12">
        <f>IF(F7&lt;5,"-",IF(E7&gt;19,"Yes",IF(E7&gt;D7+2,"Yes","-")))</f>
        <v/>
      </c>
      <c r="H7" s="8">
        <f>ClubDetails!K71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ClubDetails!L71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ClubDetails!M71</f>
        <v/>
      </c>
      <c r="O7" s="8">
        <f>ClubDetails!J71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1872178</v>
      </c>
      <c r="B8" s="12" t="inlineStr">
        <is>
          <t>02</t>
        </is>
      </c>
      <c r="C8" s="27" t="inlineStr">
        <is>
          <t>Toastmasters Club Of Thrissur</t>
        </is>
      </c>
      <c r="D8" s="8">
        <f>ClubDetails!G72</f>
        <v/>
      </c>
      <c r="E8" s="8">
        <f>ClubDetails!H72</f>
        <v/>
      </c>
      <c r="F8" s="8">
        <f>ClubDetails!I72</f>
        <v/>
      </c>
      <c r="G8" s="12">
        <f>IF(F8&lt;5,"-",IF(E8&gt;19,"Yes",IF(E8&gt;D8+2,"Yes","-")))</f>
        <v/>
      </c>
      <c r="H8" s="8">
        <f>ClubDetails!K72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ClubDetails!L72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ClubDetails!M72</f>
        <v/>
      </c>
      <c r="O8" s="8">
        <f>ClubDetails!J72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5915386</v>
      </c>
      <c r="B9" s="12" t="inlineStr">
        <is>
          <t>02</t>
        </is>
      </c>
      <c r="C9" s="27" t="inlineStr">
        <is>
          <t>Enterprising Toastmasters of Palakkad</t>
        </is>
      </c>
      <c r="D9" s="8">
        <f>ClubDetails!G73</f>
        <v/>
      </c>
      <c r="E9" s="8">
        <f>ClubDetails!H73</f>
        <v/>
      </c>
      <c r="F9" s="8">
        <f>ClubDetails!I73</f>
        <v/>
      </c>
      <c r="G9" s="12">
        <f>IF(F9&lt;5,"-",IF(E9&gt;19,"Yes",IF(E9&gt;D9+2,"Yes","-")))</f>
        <v/>
      </c>
      <c r="H9" s="8">
        <f>ClubDetails!K73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ClubDetails!L73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ClubDetails!M73</f>
        <v/>
      </c>
      <c r="O9" s="8">
        <f>ClubDetails!J73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7173481</v>
      </c>
      <c r="B10" s="12" t="inlineStr">
        <is>
          <t>02</t>
        </is>
      </c>
      <c r="C10" s="27" t="inlineStr">
        <is>
          <t>Perinthalmanna Toastmasters Club</t>
        </is>
      </c>
      <c r="D10" s="8">
        <f>ClubDetails!G74</f>
        <v/>
      </c>
      <c r="E10" s="8">
        <f>ClubDetails!H74</f>
        <v/>
      </c>
      <c r="F10" s="8">
        <f>ClubDetails!I74</f>
        <v/>
      </c>
      <c r="G10" s="12">
        <f>IF(F10&lt;5,"-",IF(E10&gt;19,"Yes",IF(E10&gt;D10+2,"Yes","-")))</f>
        <v/>
      </c>
      <c r="H10" s="8">
        <f>ClubDetails!K74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ClubDetails!L74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ClubDetails!M74</f>
        <v/>
      </c>
      <c r="O10" s="8">
        <f>ClubDetails!J74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28676579</v>
      </c>
      <c r="B11" s="12" t="inlineStr">
        <is>
          <t>02</t>
        </is>
      </c>
      <c r="C11" s="27" t="inlineStr">
        <is>
          <t>Kasaragod Toastmasters Club</t>
        </is>
      </c>
      <c r="D11" s="8">
        <f>ClubDetails!G75</f>
        <v/>
      </c>
      <c r="E11" s="8">
        <f>ClubDetails!H75</f>
        <v/>
      </c>
      <c r="F11" s="8">
        <f>ClubDetails!I75</f>
        <v/>
      </c>
      <c r="G11" s="12">
        <f>IF(F11&lt;5,"-",IF(E11&gt;19,"Yes",IF(E11&gt;D11+2,"Yes","-")))</f>
        <v/>
      </c>
      <c r="H11" s="8">
        <f>ClubDetails!K75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ClubDetails!L75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ClubDetails!M75</f>
        <v/>
      </c>
      <c r="O11" s="8">
        <f>ClubDetails!J75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28678457</v>
      </c>
      <c r="B12" s="12" t="inlineStr">
        <is>
          <t>02</t>
        </is>
      </c>
      <c r="C12" s="27" t="inlineStr">
        <is>
          <t>Ayur Path Toastmasters Club</t>
        </is>
      </c>
      <c r="D12" s="8">
        <f>ClubDetails!G76</f>
        <v/>
      </c>
      <c r="E12" s="8">
        <f>ClubDetails!H76</f>
        <v/>
      </c>
      <c r="F12" s="8">
        <f>ClubDetails!I76</f>
        <v/>
      </c>
      <c r="G12" s="12">
        <f>IF(F12&lt;5,"-",IF(E12&gt;19,"Yes",IF(E12&gt;D12+2,"Yes","-")))</f>
        <v/>
      </c>
      <c r="H12" s="8">
        <f>ClubDetails!K76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ClubDetails!L76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ClubDetails!M76</f>
        <v/>
      </c>
      <c r="O12" s="8">
        <f>ClubDetails!J76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4327554</v>
      </c>
      <c r="B13" s="12" t="inlineStr">
        <is>
          <t>03</t>
        </is>
      </c>
      <c r="C13" s="27" t="inlineStr">
        <is>
          <t>Orators Toastmasters</t>
        </is>
      </c>
      <c r="D13" s="8">
        <f>ClubDetails!G77</f>
        <v/>
      </c>
      <c r="E13" s="8">
        <f>ClubDetails!H77</f>
        <v/>
      </c>
      <c r="F13" s="8">
        <f>ClubDetails!I77</f>
        <v/>
      </c>
      <c r="G13" s="12">
        <f>IF(F13&lt;5,"-",IF(E13&gt;19,"Yes",IF(E13&gt;D13+2,"Yes","-")))</f>
        <v/>
      </c>
      <c r="H13" s="8">
        <f>ClubDetails!K77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ClubDetails!L77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ClubDetails!M77</f>
        <v/>
      </c>
      <c r="O13" s="8">
        <f>ClubDetails!J77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7814695</v>
      </c>
      <c r="B14" s="12" t="inlineStr">
        <is>
          <t>03</t>
        </is>
      </c>
      <c r="C14" s="27" t="inlineStr">
        <is>
          <t>Thrissur Malayalam Toastmasters</t>
        </is>
      </c>
      <c r="D14" s="8">
        <f>ClubDetails!G78</f>
        <v/>
      </c>
      <c r="E14" s="8">
        <f>ClubDetails!H78</f>
        <v/>
      </c>
      <c r="F14" s="8">
        <f>ClubDetails!I78</f>
        <v/>
      </c>
      <c r="G14" s="12">
        <f>IF(F14&lt;5,"-",IF(E14&gt;19,"Yes",IF(E14&gt;D14+2,"Yes","-")))</f>
        <v/>
      </c>
      <c r="H14" s="8">
        <f>ClubDetails!K78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ClubDetails!L78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ClubDetails!M78</f>
        <v/>
      </c>
      <c r="O14" s="8">
        <f>ClubDetails!J78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7902228</v>
      </c>
      <c r="B15" s="12" t="inlineStr">
        <is>
          <t>03</t>
        </is>
      </c>
      <c r="C15" s="27" t="inlineStr">
        <is>
          <t>ME Kerala Toastmasters Club</t>
        </is>
      </c>
      <c r="D15" s="8">
        <f>ClubDetails!G79</f>
        <v/>
      </c>
      <c r="E15" s="8">
        <f>ClubDetails!H79</f>
        <v/>
      </c>
      <c r="F15" s="8">
        <f>ClubDetails!I79</f>
        <v/>
      </c>
      <c r="G15" s="12">
        <f>IF(F15&lt;5,"-",IF(E15&gt;19,"Yes",IF(E15&gt;D15+2,"Yes","-")))</f>
        <v/>
      </c>
      <c r="H15" s="8">
        <f>ClubDetails!K79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ClubDetails!L79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ClubDetails!M79</f>
        <v/>
      </c>
      <c r="O15" s="8">
        <f>ClubDetails!J79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28675709</v>
      </c>
      <c r="B16" s="12" t="inlineStr">
        <is>
          <t>03</t>
        </is>
      </c>
      <c r="C16" s="27" t="inlineStr">
        <is>
          <t>Sahrdaya Toastmasters Club</t>
        </is>
      </c>
      <c r="D16" s="8">
        <f>ClubDetails!G80</f>
        <v/>
      </c>
      <c r="E16" s="8">
        <f>ClubDetails!H80</f>
        <v/>
      </c>
      <c r="F16" s="8">
        <f>ClubDetails!I80</f>
        <v/>
      </c>
      <c r="G16" s="12">
        <f>IF(F16&lt;5,"-",IF(E16&gt;19,"Yes",IF(E16&gt;D16+2,"Yes","-")))</f>
        <v/>
      </c>
      <c r="H16" s="8">
        <f>ClubDetails!K80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ClubDetails!L80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ClubDetails!M80</f>
        <v/>
      </c>
      <c r="O16" s="8">
        <f>ClubDetails!J80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1207477</v>
      </c>
      <c r="B17" s="12" t="inlineStr">
        <is>
          <t>04</t>
        </is>
      </c>
      <c r="C17" s="27" t="inlineStr">
        <is>
          <t>EKM Toastmasters</t>
        </is>
      </c>
      <c r="D17" s="8">
        <f>ClubDetails!G81</f>
        <v/>
      </c>
      <c r="E17" s="8">
        <f>ClubDetails!H81</f>
        <v/>
      </c>
      <c r="F17" s="8">
        <f>ClubDetails!I81</f>
        <v/>
      </c>
      <c r="G17" s="12">
        <f>IF(F17&lt;5,"-",IF(E17&gt;19,"Yes",IF(E17&gt;D17+2,"Yes","-")))</f>
        <v/>
      </c>
      <c r="H17" s="8">
        <f>ClubDetails!K81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ClubDetails!L81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ClubDetails!M81</f>
        <v/>
      </c>
      <c r="O17" s="8">
        <f>ClubDetails!J81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7397586</v>
      </c>
      <c r="B18" s="12" t="inlineStr">
        <is>
          <t>04</t>
        </is>
      </c>
      <c r="C18" s="27" t="inlineStr">
        <is>
          <t>Black Gold Toastmasters</t>
        </is>
      </c>
      <c r="D18" s="8">
        <f>ClubDetails!G82</f>
        <v/>
      </c>
      <c r="E18" s="8">
        <f>ClubDetails!H82</f>
        <v/>
      </c>
      <c r="F18" s="8">
        <f>ClubDetails!I82</f>
        <v/>
      </c>
      <c r="G18" s="12">
        <f>IF(F18&lt;5,"-",IF(E18&gt;19,"Yes",IF(E18&gt;D18+2,"Yes","-")))</f>
        <v/>
      </c>
      <c r="H18" s="8">
        <f>ClubDetails!K82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ClubDetails!L82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ClubDetails!M82</f>
        <v/>
      </c>
      <c r="O18" s="8">
        <f>ClubDetails!J82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7854448</v>
      </c>
      <c r="B19" s="12" t="inlineStr">
        <is>
          <t>04</t>
        </is>
      </c>
      <c r="C19" s="27" t="inlineStr">
        <is>
          <t>Heritage Toastmasters</t>
        </is>
      </c>
      <c r="D19" s="8">
        <f>ClubDetails!G83</f>
        <v/>
      </c>
      <c r="E19" s="8">
        <f>ClubDetails!H83</f>
        <v/>
      </c>
      <c r="F19" s="8">
        <f>ClubDetails!I83</f>
        <v/>
      </c>
      <c r="G19" s="12">
        <f>IF(F19&lt;5,"-",IF(E19&gt;19,"Yes",IF(E19&gt;D19+2,"Yes","-")))</f>
        <v/>
      </c>
      <c r="H19" s="8">
        <f>ClubDetails!K83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ClubDetails!L83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ClubDetails!M83</f>
        <v/>
      </c>
      <c r="O19" s="8">
        <f>ClubDetails!J83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7877475</v>
      </c>
      <c r="B20" s="12" t="inlineStr">
        <is>
          <t>04</t>
        </is>
      </c>
      <c r="C20" s="27" t="inlineStr">
        <is>
          <t>Cask Orators</t>
        </is>
      </c>
      <c r="D20" s="8">
        <f>ClubDetails!G84</f>
        <v/>
      </c>
      <c r="E20" s="8">
        <f>ClubDetails!H84</f>
        <v/>
      </c>
      <c r="F20" s="8">
        <f>ClubDetails!I84</f>
        <v/>
      </c>
      <c r="G20" s="12">
        <f>IF(F20&lt;5,"-",IF(E20&gt;19,"Yes",IF(E20&gt;D20+2,"Yes","-")))</f>
        <v/>
      </c>
      <c r="H20" s="8">
        <f>ClubDetails!K84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ClubDetails!L84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ClubDetails!M84</f>
        <v/>
      </c>
      <c r="O20" s="8">
        <f>ClubDetails!J84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7527118</v>
      </c>
      <c r="B21" s="12" t="inlineStr">
        <is>
          <t>05</t>
        </is>
      </c>
      <c r="C21" s="27" t="inlineStr">
        <is>
          <t>Lead Orators Toastmasters</t>
        </is>
      </c>
      <c r="D21" s="8">
        <f>ClubDetails!G85</f>
        <v/>
      </c>
      <c r="E21" s="8">
        <f>ClubDetails!H85</f>
        <v/>
      </c>
      <c r="F21" s="8">
        <f>ClubDetails!I85</f>
        <v/>
      </c>
      <c r="G21" s="12">
        <f>IF(F21&lt;5,"-",IF(E21&gt;19,"Yes",IF(E21&gt;D21+2,"Yes","-")))</f>
        <v/>
      </c>
      <c r="H21" s="8">
        <f>ClubDetails!K85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ClubDetails!L85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ClubDetails!M85</f>
        <v/>
      </c>
      <c r="O21" s="8">
        <f>ClubDetails!J85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7657832</v>
      </c>
      <c r="B22" s="12" t="inlineStr">
        <is>
          <t>05</t>
        </is>
      </c>
      <c r="C22" s="27" t="inlineStr">
        <is>
          <t>Bioingredia Toastmasters Club</t>
        </is>
      </c>
      <c r="D22" s="8">
        <f>ClubDetails!G86</f>
        <v/>
      </c>
      <c r="E22" s="8">
        <f>ClubDetails!H86</f>
        <v/>
      </c>
      <c r="F22" s="8">
        <f>ClubDetails!I86</f>
        <v/>
      </c>
      <c r="G22" s="12">
        <f>IF(F22&lt;5,"-",IF(E22&gt;19,"Yes",IF(E22&gt;D22+2,"Yes","-")))</f>
        <v/>
      </c>
      <c r="H22" s="8">
        <f>ClubDetails!K86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ClubDetails!L86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ClubDetails!M86</f>
        <v/>
      </c>
      <c r="O22" s="8">
        <f>ClubDetails!J86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7847626</v>
      </c>
      <c r="B23" s="12" t="inlineStr">
        <is>
          <t>05</t>
        </is>
      </c>
      <c r="C23" s="27" t="inlineStr">
        <is>
          <t>Lead Champions Toastmasters Club</t>
        </is>
      </c>
      <c r="D23" s="8">
        <f>ClubDetails!G87</f>
        <v/>
      </c>
      <c r="E23" s="8">
        <f>ClubDetails!H87</f>
        <v/>
      </c>
      <c r="F23" s="8">
        <f>ClubDetails!I87</f>
        <v/>
      </c>
      <c r="G23" s="12">
        <f>IF(F23&lt;5,"-",IF(E23&gt;19,"Yes",IF(E23&gt;D23+2,"Yes","-")))</f>
        <v/>
      </c>
      <c r="H23" s="8">
        <f>ClubDetails!K87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ClubDetails!L87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ClubDetails!M87</f>
        <v/>
      </c>
      <c r="O23" s="8">
        <f>ClubDetails!J87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7847628</v>
      </c>
      <c r="B24" s="12" t="inlineStr">
        <is>
          <t>05</t>
        </is>
      </c>
      <c r="C24" s="27" t="inlineStr">
        <is>
          <t>LEAD THE WORLD TOASTMASTERS CLUB</t>
        </is>
      </c>
      <c r="D24" s="8">
        <f>ClubDetails!G88</f>
        <v/>
      </c>
      <c r="E24" s="8">
        <f>ClubDetails!H88</f>
        <v/>
      </c>
      <c r="F24" s="8">
        <f>ClubDetails!I88</f>
        <v/>
      </c>
      <c r="G24" s="12">
        <f>IF(F24&lt;5,"-",IF(E24&gt;19,"Yes",IF(E24&gt;D24+2,"Yes","-")))</f>
        <v/>
      </c>
      <c r="H24" s="8">
        <f>ClubDetails!K88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ClubDetails!L88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ClubDetails!M88</f>
        <v/>
      </c>
      <c r="O24" s="8">
        <f>ClubDetails!J88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24" t="inlineStr">
        <is>
          <t>Total / Average</t>
        </is>
      </c>
      <c r="B25" s="26" t="inlineStr"/>
      <c r="C25" s="26" t="inlineStr"/>
      <c r="D25" s="7">
        <f>SUM(D4:D24)</f>
        <v/>
      </c>
      <c r="E25" s="7">
        <f>SUM(E4:E24)</f>
        <v/>
      </c>
      <c r="F25" s="29">
        <f>AVERAGE(F4:F24)</f>
        <v/>
      </c>
      <c r="G25" s="30">
        <f>COUNTIF(G4:G24,"Yes")</f>
        <v/>
      </c>
      <c r="H25" s="7">
        <f>SUM(H4:H24)</f>
        <v/>
      </c>
      <c r="I25" s="25">
        <f>IF(D25=0,0,H25/D25)</f>
        <v/>
      </c>
      <c r="J25" s="30" t="inlineStr"/>
      <c r="K25" s="7">
        <f>SUM(K4:K24)</f>
        <v/>
      </c>
      <c r="L25" s="25">
        <f>IF(D25=0,0,K25/D25)</f>
        <v/>
      </c>
      <c r="M25" s="30" t="inlineStr"/>
      <c r="N25" s="7">
        <f>SUM(N4:N24)</f>
        <v/>
      </c>
      <c r="O25" s="7">
        <f>SUM(O4:O24)</f>
        <v/>
      </c>
      <c r="P25" s="7">
        <f>SUM(P4:P24)</f>
        <v/>
      </c>
      <c r="Q25" s="7">
        <f>SUM(Q4:Q24)</f>
        <v/>
      </c>
      <c r="R25" s="7">
        <f>SUM(R4:R24)</f>
        <v/>
      </c>
      <c r="S25" s="7">
        <f>SUM(S4:S24)</f>
        <v/>
      </c>
      <c r="T25" s="7">
        <f>SUM(T4:T24)</f>
        <v/>
      </c>
      <c r="U25" s="7">
        <f>SUM(U4:U24)</f>
        <v/>
      </c>
      <c r="V25" s="7">
        <f>SUM(V4:V24)</f>
        <v/>
      </c>
      <c r="W25" s="7">
        <f>SUM(W4:W24)</f>
        <v/>
      </c>
      <c r="X25" s="7">
        <f>SUM(X4:X24)</f>
        <v/>
      </c>
      <c r="Y25" s="7">
        <f>SUM(Y4:Y24)</f>
        <v/>
      </c>
      <c r="Z25" s="7">
        <f>SUM(Z4:Z24)</f>
        <v/>
      </c>
      <c r="AA25" s="7">
        <f>SUM(AA4:AA24)</f>
        <v/>
      </c>
      <c r="AB25" s="30">
        <f>COUNTIF(AB4:AB24,"Yes")</f>
        <v/>
      </c>
      <c r="AC25" s="7">
        <f>SUM(AC4:AC24)</f>
        <v/>
      </c>
      <c r="AD25" s="30">
        <f>COUNTIF(AD4:AD24,"Yes")</f>
        <v/>
      </c>
      <c r="AE25" s="7">
        <f>SUM(AE4:AE24)</f>
        <v/>
      </c>
      <c r="AF25" s="30">
        <f>COUNTIF(AF4:AF24,"Yes")</f>
        <v/>
      </c>
      <c r="AG25" s="7">
        <f>SUM(AG4:AG24)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E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3859695</v>
      </c>
      <c r="B4" s="12" t="inlineStr">
        <is>
          <t>01</t>
        </is>
      </c>
      <c r="C4" s="27" t="inlineStr">
        <is>
          <t>IBC Titans Toastmasters Club</t>
        </is>
      </c>
      <c r="D4" s="8">
        <f>ClubDetails!G89</f>
        <v/>
      </c>
      <c r="E4" s="8">
        <f>ClubDetails!H89</f>
        <v/>
      </c>
      <c r="F4" s="8">
        <f>ClubDetails!I89</f>
        <v/>
      </c>
      <c r="G4" s="12">
        <f>IF(F4&lt;5,"-",IF(E4&gt;19,"Yes",IF(E4&gt;D4+2,"Yes","-")))</f>
        <v/>
      </c>
      <c r="H4" s="8">
        <f>ClubDetails!K89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ClubDetails!L89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ClubDetails!M89</f>
        <v/>
      </c>
      <c r="O4" s="8">
        <f>ClubDetails!J89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4113936</v>
      </c>
      <c r="B5" s="12" t="inlineStr">
        <is>
          <t>01</t>
        </is>
      </c>
      <c r="C5" s="27" t="inlineStr">
        <is>
          <t>Infinera Toastmasters</t>
        </is>
      </c>
      <c r="D5" s="8">
        <f>ClubDetails!G90</f>
        <v/>
      </c>
      <c r="E5" s="8">
        <f>ClubDetails!H90</f>
        <v/>
      </c>
      <c r="F5" s="8">
        <f>ClubDetails!I90</f>
        <v/>
      </c>
      <c r="G5" s="12">
        <f>IF(F5&lt;5,"-",IF(E5&gt;19,"Yes",IF(E5&gt;D5+2,"Yes","-")))</f>
        <v/>
      </c>
      <c r="H5" s="8">
        <f>ClubDetails!K90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ClubDetails!L90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ClubDetails!M90</f>
        <v/>
      </c>
      <c r="O5" s="8">
        <f>ClubDetails!J90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28676711</v>
      </c>
      <c r="B6" s="12" t="inlineStr">
        <is>
          <t>01</t>
        </is>
      </c>
      <c r="C6" s="27" t="inlineStr">
        <is>
          <t>Melange Toastmasters Club</t>
        </is>
      </c>
      <c r="D6" s="8">
        <f>ClubDetails!G91</f>
        <v/>
      </c>
      <c r="E6" s="8">
        <f>ClubDetails!H91</f>
        <v/>
      </c>
      <c r="F6" s="8">
        <f>ClubDetails!I91</f>
        <v/>
      </c>
      <c r="G6" s="12">
        <f>IF(F6&lt;5,"-",IF(E6&gt;19,"Yes",IF(E6&gt;D6+2,"Yes","-")))</f>
        <v/>
      </c>
      <c r="H6" s="8">
        <f>ClubDetails!K91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ClubDetails!L91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ClubDetails!M91</f>
        <v/>
      </c>
      <c r="O6" s="8">
        <f>ClubDetails!J91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28676900</v>
      </c>
      <c r="B7" s="12" t="inlineStr">
        <is>
          <t>01</t>
        </is>
      </c>
      <c r="C7" s="27" t="inlineStr">
        <is>
          <t>Acuity Toastmasters Open Mic</t>
        </is>
      </c>
      <c r="D7" s="8">
        <f>ClubDetails!G92</f>
        <v/>
      </c>
      <c r="E7" s="8">
        <f>ClubDetails!H92</f>
        <v/>
      </c>
      <c r="F7" s="8">
        <f>ClubDetails!I92</f>
        <v/>
      </c>
      <c r="G7" s="12">
        <f>IF(F7&lt;5,"-",IF(E7&gt;19,"Yes",IF(E7&gt;D7+2,"Yes","-")))</f>
        <v/>
      </c>
      <c r="H7" s="8">
        <f>ClubDetails!K92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ClubDetails!L92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ClubDetails!M92</f>
        <v/>
      </c>
      <c r="O7" s="8">
        <f>ClubDetails!J92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5412566</v>
      </c>
      <c r="B8" s="12" t="inlineStr">
        <is>
          <t>02</t>
        </is>
      </c>
      <c r="C8" s="27" t="inlineStr">
        <is>
          <t>RIPPLERS</t>
        </is>
      </c>
      <c r="D8" s="8">
        <f>ClubDetails!G93</f>
        <v/>
      </c>
      <c r="E8" s="8">
        <f>ClubDetails!H93</f>
        <v/>
      </c>
      <c r="F8" s="8">
        <f>ClubDetails!I93</f>
        <v/>
      </c>
      <c r="G8" s="12">
        <f>IF(F8&lt;5,"-",IF(E8&gt;19,"Yes",IF(E8&gt;D8+2,"Yes","-")))</f>
        <v/>
      </c>
      <c r="H8" s="8">
        <f>ClubDetails!K93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ClubDetails!L93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ClubDetails!M93</f>
        <v/>
      </c>
      <c r="O8" s="8">
        <f>ClubDetails!J93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6427472</v>
      </c>
      <c r="B9" s="12" t="inlineStr">
        <is>
          <t>02</t>
        </is>
      </c>
      <c r="C9" s="27" t="inlineStr">
        <is>
          <t>Lead India Speakers Club</t>
        </is>
      </c>
      <c r="D9" s="8">
        <f>ClubDetails!G94</f>
        <v/>
      </c>
      <c r="E9" s="8">
        <f>ClubDetails!H94</f>
        <v/>
      </c>
      <c r="F9" s="8">
        <f>ClubDetails!I94</f>
        <v/>
      </c>
      <c r="G9" s="12">
        <f>IF(F9&lt;5,"-",IF(E9&gt;19,"Yes",IF(E9&gt;D9+2,"Yes","-")))</f>
        <v/>
      </c>
      <c r="H9" s="8">
        <f>ClubDetails!K94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ClubDetails!L94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ClubDetails!M94</f>
        <v/>
      </c>
      <c r="O9" s="8">
        <f>ClubDetails!J94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7711039</v>
      </c>
      <c r="B10" s="12" t="inlineStr">
        <is>
          <t>02</t>
        </is>
      </c>
      <c r="C10" s="27" t="inlineStr">
        <is>
          <t>Words Worth Toastmasters</t>
        </is>
      </c>
      <c r="D10" s="8">
        <f>ClubDetails!G95</f>
        <v/>
      </c>
      <c r="E10" s="8">
        <f>ClubDetails!H95</f>
        <v/>
      </c>
      <c r="F10" s="8">
        <f>ClubDetails!I95</f>
        <v/>
      </c>
      <c r="G10" s="12">
        <f>IF(F10&lt;5,"-",IF(E10&gt;19,"Yes",IF(E10&gt;D10+2,"Yes","-")))</f>
        <v/>
      </c>
      <c r="H10" s="8">
        <f>ClubDetails!K95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ClubDetails!L95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ClubDetails!M95</f>
        <v/>
      </c>
      <c r="O10" s="8">
        <f>ClubDetails!J95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28676701</v>
      </c>
      <c r="B11" s="12" t="inlineStr">
        <is>
          <t>02</t>
        </is>
      </c>
      <c r="C11" s="27" t="inlineStr">
        <is>
          <t>Evolve Toastmasters</t>
        </is>
      </c>
      <c r="D11" s="8">
        <f>ClubDetails!G96</f>
        <v/>
      </c>
      <c r="E11" s="8">
        <f>ClubDetails!H96</f>
        <v/>
      </c>
      <c r="F11" s="8">
        <f>ClubDetails!I96</f>
        <v/>
      </c>
      <c r="G11" s="12">
        <f>IF(F11&lt;5,"-",IF(E11&gt;19,"Yes",IF(E11&gt;D11+2,"Yes","-")))</f>
        <v/>
      </c>
      <c r="H11" s="8">
        <f>ClubDetails!K96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ClubDetails!L96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ClubDetails!M96</f>
        <v/>
      </c>
      <c r="O11" s="8">
        <f>ClubDetails!J96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2405453</v>
      </c>
      <c r="B12" s="12" t="inlineStr">
        <is>
          <t>03</t>
        </is>
      </c>
      <c r="C12" s="27" t="inlineStr">
        <is>
          <t>vTalk Toastmasters Club</t>
        </is>
      </c>
      <c r="D12" s="8">
        <f>ClubDetails!G97</f>
        <v/>
      </c>
      <c r="E12" s="8">
        <f>ClubDetails!H97</f>
        <v/>
      </c>
      <c r="F12" s="8">
        <f>ClubDetails!I97</f>
        <v/>
      </c>
      <c r="G12" s="12">
        <f>IF(F12&lt;5,"-",IF(E12&gt;19,"Yes",IF(E12&gt;D12+2,"Yes","-")))</f>
        <v/>
      </c>
      <c r="H12" s="8">
        <f>ClubDetails!K97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ClubDetails!L97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ClubDetails!M97</f>
        <v/>
      </c>
      <c r="O12" s="8">
        <f>ClubDetails!J97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6831114</v>
      </c>
      <c r="B13" s="12" t="inlineStr">
        <is>
          <t>03</t>
        </is>
      </c>
      <c r="C13" s="27" t="inlineStr">
        <is>
          <t>Leaders Speak</t>
        </is>
      </c>
      <c r="D13" s="8">
        <f>ClubDetails!G98</f>
        <v/>
      </c>
      <c r="E13" s="8">
        <f>ClubDetails!H98</f>
        <v/>
      </c>
      <c r="F13" s="8">
        <f>ClubDetails!I98</f>
        <v/>
      </c>
      <c r="G13" s="12">
        <f>IF(F13&lt;5,"-",IF(E13&gt;19,"Yes",IF(E13&gt;D13+2,"Yes","-")))</f>
        <v/>
      </c>
      <c r="H13" s="8">
        <f>ClubDetails!K98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ClubDetails!L98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ClubDetails!M98</f>
        <v/>
      </c>
      <c r="O13" s="8">
        <f>ClubDetails!J98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7460211</v>
      </c>
      <c r="B14" s="12" t="inlineStr">
        <is>
          <t>03</t>
        </is>
      </c>
      <c r="C14" s="27" t="inlineStr">
        <is>
          <t>WeSpeak Toastmasters Club</t>
        </is>
      </c>
      <c r="D14" s="8">
        <f>ClubDetails!G99</f>
        <v/>
      </c>
      <c r="E14" s="8">
        <f>ClubDetails!H99</f>
        <v/>
      </c>
      <c r="F14" s="8">
        <f>ClubDetails!I99</f>
        <v/>
      </c>
      <c r="G14" s="12">
        <f>IF(F14&lt;5,"-",IF(E14&gt;19,"Yes",IF(E14&gt;D14+2,"Yes","-")))</f>
        <v/>
      </c>
      <c r="H14" s="8">
        <f>ClubDetails!K99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ClubDetails!L99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ClubDetails!M99</f>
        <v/>
      </c>
      <c r="O14" s="8">
        <f>ClubDetails!J99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28678473</v>
      </c>
      <c r="B15" s="12" t="inlineStr">
        <is>
          <t>03</t>
        </is>
      </c>
      <c r="C15" s="27" t="inlineStr">
        <is>
          <t>Flexera Toastmasters</t>
        </is>
      </c>
      <c r="D15" s="8">
        <f>ClubDetails!G100</f>
        <v/>
      </c>
      <c r="E15" s="8">
        <f>ClubDetails!H100</f>
        <v/>
      </c>
      <c r="F15" s="8">
        <f>ClubDetails!I100</f>
        <v/>
      </c>
      <c r="G15" s="12">
        <f>IF(F15&lt;5,"-",IF(E15&gt;19,"Yes",IF(E15&gt;D15+2,"Yes","-")))</f>
        <v/>
      </c>
      <c r="H15" s="8">
        <f>ClubDetails!K100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ClubDetails!L100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ClubDetails!M100</f>
        <v/>
      </c>
      <c r="O15" s="8">
        <f>ClubDetails!J100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632425</v>
      </c>
      <c r="B16" s="12" t="inlineStr">
        <is>
          <t>04</t>
        </is>
      </c>
      <c r="C16" s="27" t="inlineStr">
        <is>
          <t>CMS Speakers Forum Toastmasters Club</t>
        </is>
      </c>
      <c r="D16" s="8">
        <f>ClubDetails!G101</f>
        <v/>
      </c>
      <c r="E16" s="8">
        <f>ClubDetails!H101</f>
        <v/>
      </c>
      <c r="F16" s="8">
        <f>ClubDetails!I101</f>
        <v/>
      </c>
      <c r="G16" s="12">
        <f>IF(F16&lt;5,"-",IF(E16&gt;19,"Yes",IF(E16&gt;D16+2,"Yes","-")))</f>
        <v/>
      </c>
      <c r="H16" s="8">
        <f>ClubDetails!K101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ClubDetails!L101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ClubDetails!M101</f>
        <v/>
      </c>
      <c r="O16" s="8">
        <f>ClubDetails!J101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725960</v>
      </c>
      <c r="B17" s="12" t="inlineStr">
        <is>
          <t>04</t>
        </is>
      </c>
      <c r="C17" s="27" t="inlineStr">
        <is>
          <t>Jain Toastmasters Club</t>
        </is>
      </c>
      <c r="D17" s="8">
        <f>ClubDetails!G102</f>
        <v/>
      </c>
      <c r="E17" s="8">
        <f>ClubDetails!H102</f>
        <v/>
      </c>
      <c r="F17" s="8">
        <f>ClubDetails!I102</f>
        <v/>
      </c>
      <c r="G17" s="12">
        <f>IF(F17&lt;5,"-",IF(E17&gt;19,"Yes",IF(E17&gt;D17+2,"Yes","-")))</f>
        <v/>
      </c>
      <c r="H17" s="8">
        <f>ClubDetails!K102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ClubDetails!L102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ClubDetails!M102</f>
        <v/>
      </c>
      <c r="O17" s="8">
        <f>ClubDetails!J102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726395</v>
      </c>
      <c r="B18" s="12" t="inlineStr">
        <is>
          <t>04</t>
        </is>
      </c>
      <c r="C18" s="27" t="inlineStr">
        <is>
          <t>SBMJC Toastmasters Club</t>
        </is>
      </c>
      <c r="D18" s="8">
        <f>ClubDetails!G103</f>
        <v/>
      </c>
      <c r="E18" s="8">
        <f>ClubDetails!H103</f>
        <v/>
      </c>
      <c r="F18" s="8">
        <f>ClubDetails!I103</f>
        <v/>
      </c>
      <c r="G18" s="12">
        <f>IF(F18&lt;5,"-",IF(E18&gt;19,"Yes",IF(E18&gt;D18+2,"Yes","-")))</f>
        <v/>
      </c>
      <c r="H18" s="8">
        <f>ClubDetails!K103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ClubDetails!L103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ClubDetails!M103</f>
        <v/>
      </c>
      <c r="O18" s="8">
        <f>ClubDetails!J103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726698</v>
      </c>
      <c r="B19" s="12" t="inlineStr">
        <is>
          <t>04</t>
        </is>
      </c>
      <c r="C19" s="27" t="inlineStr">
        <is>
          <t>Mahaveer Toastmasters Club</t>
        </is>
      </c>
      <c r="D19" s="8">
        <f>ClubDetails!G104</f>
        <v/>
      </c>
      <c r="E19" s="8">
        <f>ClubDetails!H104</f>
        <v/>
      </c>
      <c r="F19" s="8">
        <f>ClubDetails!I104</f>
        <v/>
      </c>
      <c r="G19" s="12">
        <f>IF(F19&lt;5,"-",IF(E19&gt;19,"Yes",IF(E19&gt;D19+2,"Yes","-")))</f>
        <v/>
      </c>
      <c r="H19" s="8">
        <f>ClubDetails!K104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ClubDetails!L104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ClubDetails!M104</f>
        <v/>
      </c>
      <c r="O19" s="8">
        <f>ClubDetails!J104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24" t="inlineStr">
        <is>
          <t>Total / Average</t>
        </is>
      </c>
      <c r="B20" s="26" t="inlineStr"/>
      <c r="C20" s="26" t="inlineStr"/>
      <c r="D20" s="7">
        <f>SUM(D4:D19)</f>
        <v/>
      </c>
      <c r="E20" s="7">
        <f>SUM(E4:E19)</f>
        <v/>
      </c>
      <c r="F20" s="29">
        <f>AVERAGE(F4:F19)</f>
        <v/>
      </c>
      <c r="G20" s="30">
        <f>COUNTIF(G4:G19,"Yes")</f>
        <v/>
      </c>
      <c r="H20" s="7">
        <f>SUM(H4:H19)</f>
        <v/>
      </c>
      <c r="I20" s="25">
        <f>IF(D20=0,0,H20/D20)</f>
        <v/>
      </c>
      <c r="J20" s="30" t="inlineStr"/>
      <c r="K20" s="7">
        <f>SUM(K4:K19)</f>
        <v/>
      </c>
      <c r="L20" s="25">
        <f>IF(D20=0,0,K20/D20)</f>
        <v/>
      </c>
      <c r="M20" s="30" t="inlineStr"/>
      <c r="N20" s="7">
        <f>SUM(N4:N19)</f>
        <v/>
      </c>
      <c r="O20" s="7">
        <f>SUM(O4:O19)</f>
        <v/>
      </c>
      <c r="P20" s="7">
        <f>SUM(P4:P19)</f>
        <v/>
      </c>
      <c r="Q20" s="7">
        <f>SUM(Q4:Q19)</f>
        <v/>
      </c>
      <c r="R20" s="7">
        <f>SUM(R4:R19)</f>
        <v/>
      </c>
      <c r="S20" s="7">
        <f>SUM(S4:S19)</f>
        <v/>
      </c>
      <c r="T20" s="7">
        <f>SUM(T4:T19)</f>
        <v/>
      </c>
      <c r="U20" s="7">
        <f>SUM(U4:U19)</f>
        <v/>
      </c>
      <c r="V20" s="7">
        <f>SUM(V4:V19)</f>
        <v/>
      </c>
      <c r="W20" s="7">
        <f>SUM(W4:W19)</f>
        <v/>
      </c>
      <c r="X20" s="7">
        <f>SUM(X4:X19)</f>
        <v/>
      </c>
      <c r="Y20" s="7">
        <f>SUM(Y4:Y19)</f>
        <v/>
      </c>
      <c r="Z20" s="7">
        <f>SUM(Z4:Z19)</f>
        <v/>
      </c>
      <c r="AA20" s="7">
        <f>SUM(AA4:AA19)</f>
        <v/>
      </c>
      <c r="AB20" s="30">
        <f>COUNTIF(AB4:AB19,"Yes")</f>
        <v/>
      </c>
      <c r="AC20" s="7">
        <f>SUM(AC4:AC19)</f>
        <v/>
      </c>
      <c r="AD20" s="30">
        <f>COUNTIF(AD4:AD19,"Yes")</f>
        <v/>
      </c>
      <c r="AE20" s="7">
        <f>SUM(AE4:AE19)</f>
        <v/>
      </c>
      <c r="AF20" s="30">
        <f>COUNTIF(AF4:AF19,"Yes")</f>
        <v/>
      </c>
      <c r="AG20" s="7">
        <f>SUM(AG4:AG19)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4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F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3014292</v>
      </c>
      <c r="B4" s="12" t="inlineStr">
        <is>
          <t>01</t>
        </is>
      </c>
      <c r="C4" s="27" t="inlineStr">
        <is>
          <t>TAPMI Toastmasters</t>
        </is>
      </c>
      <c r="D4" s="8">
        <f>ClubDetails!G105</f>
        <v/>
      </c>
      <c r="E4" s="8">
        <f>ClubDetails!H105</f>
        <v/>
      </c>
      <c r="F4" s="8">
        <f>ClubDetails!I105</f>
        <v/>
      </c>
      <c r="G4" s="12">
        <f>IF(F4&lt;5,"-",IF(E4&gt;19,"Yes",IF(E4&gt;D4+2,"Yes","-")))</f>
        <v/>
      </c>
      <c r="H4" s="8">
        <f>ClubDetails!K105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ClubDetails!L105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ClubDetails!M105</f>
        <v/>
      </c>
      <c r="O4" s="8">
        <f>ClubDetails!J105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3900632</v>
      </c>
      <c r="B5" s="12" t="inlineStr">
        <is>
          <t>01</t>
        </is>
      </c>
      <c r="C5" s="27" t="inlineStr">
        <is>
          <t>Manipal-Udupi Toastmasters Club</t>
        </is>
      </c>
      <c r="D5" s="8">
        <f>ClubDetails!G106</f>
        <v/>
      </c>
      <c r="E5" s="8">
        <f>ClubDetails!H106</f>
        <v/>
      </c>
      <c r="F5" s="8">
        <f>ClubDetails!I106</f>
        <v/>
      </c>
      <c r="G5" s="12">
        <f>IF(F5&lt;5,"-",IF(E5&gt;19,"Yes",IF(E5&gt;D5+2,"Yes","-")))</f>
        <v/>
      </c>
      <c r="H5" s="8">
        <f>ClubDetails!K106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ClubDetails!L106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ClubDetails!M106</f>
        <v/>
      </c>
      <c r="O5" s="8">
        <f>ClubDetails!J106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6843977</v>
      </c>
      <c r="B6" s="12" t="inlineStr">
        <is>
          <t>01</t>
        </is>
      </c>
      <c r="C6" s="27" t="inlineStr">
        <is>
          <t>MAHE Toastmasters Club</t>
        </is>
      </c>
      <c r="D6" s="8">
        <f>ClubDetails!G107</f>
        <v/>
      </c>
      <c r="E6" s="8">
        <f>ClubDetails!H107</f>
        <v/>
      </c>
      <c r="F6" s="8">
        <f>ClubDetails!I107</f>
        <v/>
      </c>
      <c r="G6" s="12">
        <f>IF(F6&lt;5,"-",IF(E6&gt;19,"Yes",IF(E6&gt;D6+2,"Yes","-")))</f>
        <v/>
      </c>
      <c r="H6" s="8">
        <f>ClubDetails!K107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ClubDetails!L107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ClubDetails!M107</f>
        <v/>
      </c>
      <c r="O6" s="8">
        <f>ClubDetails!J107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28676491</v>
      </c>
      <c r="B7" s="12" t="inlineStr">
        <is>
          <t>01</t>
        </is>
      </c>
      <c r="C7" s="27" t="inlineStr">
        <is>
          <t>Udupi Toastmasters Club</t>
        </is>
      </c>
      <c r="D7" s="8">
        <f>ClubDetails!G108</f>
        <v/>
      </c>
      <c r="E7" s="8">
        <f>ClubDetails!H108</f>
        <v/>
      </c>
      <c r="F7" s="8">
        <f>ClubDetails!I108</f>
        <v/>
      </c>
      <c r="G7" s="12">
        <f>IF(F7&lt;5,"-",IF(E7&gt;19,"Yes",IF(E7&gt;D7+2,"Yes","-")))</f>
        <v/>
      </c>
      <c r="H7" s="8">
        <f>ClubDetails!K108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ClubDetails!L108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ClubDetails!M108</f>
        <v/>
      </c>
      <c r="O7" s="8">
        <f>ClubDetails!J108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585650</v>
      </c>
      <c r="B8" s="12" t="inlineStr">
        <is>
          <t>02</t>
        </is>
      </c>
      <c r="C8" s="27" t="inlineStr">
        <is>
          <t>Mangalore Club</t>
        </is>
      </c>
      <c r="D8" s="8">
        <f>ClubDetails!G109</f>
        <v/>
      </c>
      <c r="E8" s="8">
        <f>ClubDetails!H109</f>
        <v/>
      </c>
      <c r="F8" s="8">
        <f>ClubDetails!I109</f>
        <v/>
      </c>
      <c r="G8" s="12">
        <f>IF(F8&lt;5,"-",IF(E8&gt;19,"Yes",IF(E8&gt;D8+2,"Yes","-")))</f>
        <v/>
      </c>
      <c r="H8" s="8">
        <f>ClubDetails!K109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ClubDetails!L109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ClubDetails!M109</f>
        <v/>
      </c>
      <c r="O8" s="8">
        <f>ClubDetails!J109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1600545</v>
      </c>
      <c r="B9" s="12" t="inlineStr">
        <is>
          <t>02</t>
        </is>
      </c>
      <c r="C9" s="27" t="inlineStr">
        <is>
          <t>INSPIRON Toastmasters Club</t>
        </is>
      </c>
      <c r="D9" s="8">
        <f>ClubDetails!G110</f>
        <v/>
      </c>
      <c r="E9" s="8">
        <f>ClubDetails!H110</f>
        <v/>
      </c>
      <c r="F9" s="8">
        <f>ClubDetails!I110</f>
        <v/>
      </c>
      <c r="G9" s="12">
        <f>IF(F9&lt;5,"-",IF(E9&gt;19,"Yes",IF(E9&gt;D9+2,"Yes","-")))</f>
        <v/>
      </c>
      <c r="H9" s="8">
        <f>ClubDetails!K110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ClubDetails!L110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ClubDetails!M110</f>
        <v/>
      </c>
      <c r="O9" s="8">
        <f>ClubDetails!J110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7817375</v>
      </c>
      <c r="B10" s="12" t="inlineStr">
        <is>
          <t>02</t>
        </is>
      </c>
      <c r="C10" s="27" t="inlineStr">
        <is>
          <t>Karavali Toastmasters Club</t>
        </is>
      </c>
      <c r="D10" s="8">
        <f>ClubDetails!G111</f>
        <v/>
      </c>
      <c r="E10" s="8">
        <f>ClubDetails!H111</f>
        <v/>
      </c>
      <c r="F10" s="8">
        <f>ClubDetails!I111</f>
        <v/>
      </c>
      <c r="G10" s="12">
        <f>IF(F10&lt;5,"-",IF(E10&gt;19,"Yes",IF(E10&gt;D10+2,"Yes","-")))</f>
        <v/>
      </c>
      <c r="H10" s="8">
        <f>ClubDetails!K111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ClubDetails!L111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ClubDetails!M111</f>
        <v/>
      </c>
      <c r="O10" s="8">
        <f>ClubDetails!J111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7854374</v>
      </c>
      <c r="B11" s="12" t="inlineStr">
        <is>
          <t>02</t>
        </is>
      </c>
      <c r="C11" s="27" t="inlineStr">
        <is>
          <t>Roshni Toastmasters Club</t>
        </is>
      </c>
      <c r="D11" s="8">
        <f>ClubDetails!G112</f>
        <v/>
      </c>
      <c r="E11" s="8">
        <f>ClubDetails!H112</f>
        <v/>
      </c>
      <c r="F11" s="8">
        <f>ClubDetails!I112</f>
        <v/>
      </c>
      <c r="G11" s="12">
        <f>IF(F11&lt;5,"-",IF(E11&gt;19,"Yes",IF(E11&gt;D11+2,"Yes","-")))</f>
        <v/>
      </c>
      <c r="H11" s="8">
        <f>ClubDetails!K112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ClubDetails!L112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ClubDetails!M112</f>
        <v/>
      </c>
      <c r="O11" s="8">
        <f>ClubDetails!J112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3698</v>
      </c>
      <c r="B12" s="12" t="inlineStr">
        <is>
          <t>03</t>
        </is>
      </c>
      <c r="C12" s="27" t="inlineStr">
        <is>
          <t xml:space="preserve">Winners Club </t>
        </is>
      </c>
      <c r="D12" s="8">
        <f>ClubDetails!G113</f>
        <v/>
      </c>
      <c r="E12" s="8">
        <f>ClubDetails!H113</f>
        <v/>
      </c>
      <c r="F12" s="8">
        <f>ClubDetails!I113</f>
        <v/>
      </c>
      <c r="G12" s="12">
        <f>IF(F12&lt;5,"-",IF(E12&gt;19,"Yes",IF(E12&gt;D12+2,"Yes","-")))</f>
        <v/>
      </c>
      <c r="H12" s="8">
        <f>ClubDetails!K113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ClubDetails!L113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ClubDetails!M113</f>
        <v/>
      </c>
      <c r="O12" s="8">
        <f>ClubDetails!J113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7325136</v>
      </c>
      <c r="B13" s="12" t="inlineStr">
        <is>
          <t>03</t>
        </is>
      </c>
      <c r="C13" s="27" t="inlineStr">
        <is>
          <t>Bantwal Speech Weavers</t>
        </is>
      </c>
      <c r="D13" s="8">
        <f>ClubDetails!G114</f>
        <v/>
      </c>
      <c r="E13" s="8">
        <f>ClubDetails!H114</f>
        <v/>
      </c>
      <c r="F13" s="8">
        <f>ClubDetails!I114</f>
        <v/>
      </c>
      <c r="G13" s="12">
        <f>IF(F13&lt;5,"-",IF(E13&gt;19,"Yes",IF(E13&gt;D13+2,"Yes","-")))</f>
        <v/>
      </c>
      <c r="H13" s="8">
        <f>ClubDetails!K114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ClubDetails!L114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ClubDetails!M114</f>
        <v/>
      </c>
      <c r="O13" s="8">
        <f>ClubDetails!J114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7860728</v>
      </c>
      <c r="B14" s="12" t="inlineStr">
        <is>
          <t>03</t>
        </is>
      </c>
      <c r="C14" s="27" t="inlineStr">
        <is>
          <t>Yenunciate Toastmasters Club</t>
        </is>
      </c>
      <c r="D14" s="8">
        <f>ClubDetails!G115</f>
        <v/>
      </c>
      <c r="E14" s="8">
        <f>ClubDetails!H115</f>
        <v/>
      </c>
      <c r="F14" s="8">
        <f>ClubDetails!I115</f>
        <v/>
      </c>
      <c r="G14" s="12">
        <f>IF(F14&lt;5,"-",IF(E14&gt;19,"Yes",IF(E14&gt;D14+2,"Yes","-")))</f>
        <v/>
      </c>
      <c r="H14" s="8">
        <f>ClubDetails!K115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ClubDetails!L115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ClubDetails!M115</f>
        <v/>
      </c>
      <c r="O14" s="8">
        <f>ClubDetails!J115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7877748</v>
      </c>
      <c r="B15" s="12" t="inlineStr">
        <is>
          <t>03</t>
        </is>
      </c>
      <c r="C15" s="27" t="inlineStr">
        <is>
          <t>Let's Debate Toastmasters Club</t>
        </is>
      </c>
      <c r="D15" s="8">
        <f>ClubDetails!G116</f>
        <v/>
      </c>
      <c r="E15" s="8">
        <f>ClubDetails!H116</f>
        <v/>
      </c>
      <c r="F15" s="8">
        <f>ClubDetails!I116</f>
        <v/>
      </c>
      <c r="G15" s="12">
        <f>IF(F15&lt;5,"-",IF(E15&gt;19,"Yes",IF(E15&gt;D15+2,"Yes","-")))</f>
        <v/>
      </c>
      <c r="H15" s="8">
        <f>ClubDetails!K116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ClubDetails!L116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ClubDetails!M116</f>
        <v/>
      </c>
      <c r="O15" s="8">
        <f>ClubDetails!J116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28678782</v>
      </c>
      <c r="B16" s="12" t="inlineStr">
        <is>
          <t>03</t>
        </is>
      </c>
      <c r="C16" s="27" t="inlineStr">
        <is>
          <t>Moodbidri Toastmasters Club</t>
        </is>
      </c>
      <c r="D16" s="8">
        <f>ClubDetails!G117</f>
        <v/>
      </c>
      <c r="E16" s="8">
        <f>ClubDetails!H117</f>
        <v/>
      </c>
      <c r="F16" s="8">
        <f>ClubDetails!I117</f>
        <v/>
      </c>
      <c r="G16" s="12">
        <f>IF(F16&lt;5,"-",IF(E16&gt;19,"Yes",IF(E16&gt;D16+2,"Yes","-")))</f>
        <v/>
      </c>
      <c r="H16" s="8">
        <f>ClubDetails!K117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ClubDetails!L117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ClubDetails!M117</f>
        <v/>
      </c>
      <c r="O16" s="8">
        <f>ClubDetails!J117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28680397</v>
      </c>
      <c r="B17" s="12" t="inlineStr">
        <is>
          <t>03</t>
        </is>
      </c>
      <c r="C17" s="27" t="inlineStr">
        <is>
          <t>Uxcel Toastmasters Club</t>
        </is>
      </c>
      <c r="D17" s="8">
        <f>ClubDetails!G118</f>
        <v/>
      </c>
      <c r="E17" s="8">
        <f>ClubDetails!H118</f>
        <v/>
      </c>
      <c r="F17" s="8">
        <f>ClubDetails!I118</f>
        <v/>
      </c>
      <c r="G17" s="12">
        <f>IF(F17&lt;5,"-",IF(E17&gt;19,"Yes",IF(E17&gt;D17+2,"Yes","-")))</f>
        <v/>
      </c>
      <c r="H17" s="8">
        <f>ClubDetails!K118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ClubDetails!L118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ClubDetails!M118</f>
        <v/>
      </c>
      <c r="O17" s="8">
        <f>ClubDetails!J118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2818428</v>
      </c>
      <c r="B18" s="12" t="inlineStr">
        <is>
          <t>04</t>
        </is>
      </c>
      <c r="C18" s="27" t="inlineStr">
        <is>
          <t>Milagres Toastmasters</t>
        </is>
      </c>
      <c r="D18" s="8">
        <f>ClubDetails!G119</f>
        <v/>
      </c>
      <c r="E18" s="8">
        <f>ClubDetails!H119</f>
        <v/>
      </c>
      <c r="F18" s="8">
        <f>ClubDetails!I119</f>
        <v/>
      </c>
      <c r="G18" s="12">
        <f>IF(F18&lt;5,"-",IF(E18&gt;19,"Yes",IF(E18&gt;D18+2,"Yes","-")))</f>
        <v/>
      </c>
      <c r="H18" s="8">
        <f>ClubDetails!K119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ClubDetails!L119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ClubDetails!M119</f>
        <v/>
      </c>
      <c r="O18" s="8">
        <f>ClubDetails!J119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3965394</v>
      </c>
      <c r="B19" s="12" t="inlineStr">
        <is>
          <t>04</t>
        </is>
      </c>
      <c r="C19" s="27" t="inlineStr">
        <is>
          <t>Port Town Advanced Toastmasters</t>
        </is>
      </c>
      <c r="D19" s="8">
        <f>ClubDetails!G120</f>
        <v/>
      </c>
      <c r="E19" s="8">
        <f>ClubDetails!H120</f>
        <v/>
      </c>
      <c r="F19" s="8">
        <f>ClubDetails!I120</f>
        <v/>
      </c>
      <c r="G19" s="12">
        <f>IF(F19&lt;5,"-",IF(E19&gt;19,"Yes",IF(E19&gt;D19+2,"Yes","-")))</f>
        <v/>
      </c>
      <c r="H19" s="8">
        <f>ClubDetails!K120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ClubDetails!L120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ClubDetails!M120</f>
        <v/>
      </c>
      <c r="O19" s="8">
        <f>ClubDetails!J120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7575734</v>
      </c>
      <c r="B20" s="12" t="inlineStr">
        <is>
          <t>04</t>
        </is>
      </c>
      <c r="C20" s="27" t="inlineStr">
        <is>
          <t>Agnesian Toastmasters</t>
        </is>
      </c>
      <c r="D20" s="8">
        <f>ClubDetails!G121</f>
        <v/>
      </c>
      <c r="E20" s="8">
        <f>ClubDetails!H121</f>
        <v/>
      </c>
      <c r="F20" s="8">
        <f>ClubDetails!I121</f>
        <v/>
      </c>
      <c r="G20" s="12">
        <f>IF(F20&lt;5,"-",IF(E20&gt;19,"Yes",IF(E20&gt;D20+2,"Yes","-")))</f>
        <v/>
      </c>
      <c r="H20" s="8">
        <f>ClubDetails!K121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ClubDetails!L121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ClubDetails!M121</f>
        <v/>
      </c>
      <c r="O20" s="8">
        <f>ClubDetails!J121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28677717</v>
      </c>
      <c r="B21" s="12" t="inlineStr">
        <is>
          <t>04</t>
        </is>
      </c>
      <c r="C21" s="27" t="inlineStr">
        <is>
          <t>Niveus Toastmasters Club</t>
        </is>
      </c>
      <c r="D21" s="8">
        <f>ClubDetails!G122</f>
        <v/>
      </c>
      <c r="E21" s="8">
        <f>ClubDetails!H122</f>
        <v/>
      </c>
      <c r="F21" s="8">
        <f>ClubDetails!I122</f>
        <v/>
      </c>
      <c r="G21" s="12">
        <f>IF(F21&lt;5,"-",IF(E21&gt;19,"Yes",IF(E21&gt;D21+2,"Yes","-")))</f>
        <v/>
      </c>
      <c r="H21" s="8">
        <f>ClubDetails!K122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ClubDetails!L122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ClubDetails!M122</f>
        <v/>
      </c>
      <c r="O21" s="8">
        <f>ClubDetails!J122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28678985</v>
      </c>
      <c r="B22" s="12" t="inlineStr">
        <is>
          <t>04</t>
        </is>
      </c>
      <c r="C22" s="27" t="inlineStr">
        <is>
          <t>Champion Evaluators Advanced Toastmasters Club</t>
        </is>
      </c>
      <c r="D22" s="8">
        <f>ClubDetails!G123</f>
        <v/>
      </c>
      <c r="E22" s="8">
        <f>ClubDetails!H123</f>
        <v/>
      </c>
      <c r="F22" s="8">
        <f>ClubDetails!I123</f>
        <v/>
      </c>
      <c r="G22" s="12">
        <f>IF(F22&lt;5,"-",IF(E22&gt;19,"Yes",IF(E22&gt;D22+2,"Yes","-")))</f>
        <v/>
      </c>
      <c r="H22" s="8">
        <f>ClubDetails!K123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ClubDetails!L123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ClubDetails!M123</f>
        <v/>
      </c>
      <c r="O22" s="8">
        <f>ClubDetails!J123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1597746</v>
      </c>
      <c r="B23" s="12" t="inlineStr">
        <is>
          <t>05</t>
        </is>
      </c>
      <c r="C23" s="27" t="inlineStr">
        <is>
          <t>ProAct Toastmasters Club</t>
        </is>
      </c>
      <c r="D23" s="8">
        <f>ClubDetails!G124</f>
        <v/>
      </c>
      <c r="E23" s="8">
        <f>ClubDetails!H124</f>
        <v/>
      </c>
      <c r="F23" s="8">
        <f>ClubDetails!I124</f>
        <v/>
      </c>
      <c r="G23" s="12">
        <f>IF(F23&lt;5,"-",IF(E23&gt;19,"Yes",IF(E23&gt;D23+2,"Yes","-")))</f>
        <v/>
      </c>
      <c r="H23" s="8">
        <f>ClubDetails!K124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ClubDetails!L124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ClubDetails!M124</f>
        <v/>
      </c>
      <c r="O23" s="8">
        <f>ClubDetails!J124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7845796</v>
      </c>
      <c r="B24" s="12" t="inlineStr">
        <is>
          <t>05</t>
        </is>
      </c>
      <c r="C24" s="27" t="inlineStr">
        <is>
          <t>Konkan Toastmasters</t>
        </is>
      </c>
      <c r="D24" s="8">
        <f>ClubDetails!G125</f>
        <v/>
      </c>
      <c r="E24" s="8">
        <f>ClubDetails!H125</f>
        <v/>
      </c>
      <c r="F24" s="8">
        <f>ClubDetails!I125</f>
        <v/>
      </c>
      <c r="G24" s="12">
        <f>IF(F24&lt;5,"-",IF(E24&gt;19,"Yes",IF(E24&gt;D24+2,"Yes","-")))</f>
        <v/>
      </c>
      <c r="H24" s="8">
        <f>ClubDetails!K125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ClubDetails!L125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ClubDetails!M125</f>
        <v/>
      </c>
      <c r="O24" s="8">
        <f>ClubDetails!J125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7856512</v>
      </c>
      <c r="B25" s="12" t="inlineStr">
        <is>
          <t>05</t>
        </is>
      </c>
      <c r="C25" s="27" t="inlineStr">
        <is>
          <t>St Aloysius Toastmasters Club</t>
        </is>
      </c>
      <c r="D25" s="8">
        <f>ClubDetails!G126</f>
        <v/>
      </c>
      <c r="E25" s="8">
        <f>ClubDetails!H126</f>
        <v/>
      </c>
      <c r="F25" s="8">
        <f>ClubDetails!I126</f>
        <v/>
      </c>
      <c r="G25" s="12">
        <f>IF(F25&lt;5,"-",IF(E25&gt;19,"Yes",IF(E25&gt;D25+2,"Yes","-")))</f>
        <v/>
      </c>
      <c r="H25" s="8">
        <f>ClubDetails!K126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ClubDetails!L126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ClubDetails!M126</f>
        <v/>
      </c>
      <c r="O25" s="8">
        <f>ClubDetails!J126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28678100</v>
      </c>
      <c r="B26" s="12" t="inlineStr">
        <is>
          <t>05</t>
        </is>
      </c>
      <c r="C26" s="27" t="inlineStr">
        <is>
          <t>Coastal Divas Toastmasters Club</t>
        </is>
      </c>
      <c r="D26" s="8">
        <f>ClubDetails!G127</f>
        <v/>
      </c>
      <c r="E26" s="8">
        <f>ClubDetails!H127</f>
        <v/>
      </c>
      <c r="F26" s="8">
        <f>ClubDetails!I127</f>
        <v/>
      </c>
      <c r="G26" s="12">
        <f>IF(F26&lt;5,"-",IF(E26&gt;19,"Yes",IF(E26&gt;D26+2,"Yes","-")))</f>
        <v/>
      </c>
      <c r="H26" s="8">
        <f>ClubDetails!K127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ClubDetails!L127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ClubDetails!M127</f>
        <v/>
      </c>
      <c r="O26" s="8">
        <f>ClubDetails!J127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28679902</v>
      </c>
      <c r="B27" s="12" t="inlineStr">
        <is>
          <t>05</t>
        </is>
      </c>
      <c r="C27" s="27" t="inlineStr">
        <is>
          <t>EG India Toastmasters Club</t>
        </is>
      </c>
      <c r="D27" s="8">
        <f>ClubDetails!G128</f>
        <v/>
      </c>
      <c r="E27" s="8">
        <f>ClubDetails!H128</f>
        <v/>
      </c>
      <c r="F27" s="8">
        <f>ClubDetails!I128</f>
        <v/>
      </c>
      <c r="G27" s="12">
        <f>IF(F27&lt;5,"-",IF(E27&gt;19,"Yes",IF(E27&gt;D27+2,"Yes","-")))</f>
        <v/>
      </c>
      <c r="H27" s="8">
        <f>ClubDetails!K128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ClubDetails!L128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ClubDetails!M128</f>
        <v/>
      </c>
      <c r="O27" s="8">
        <f>ClubDetails!J128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24" t="inlineStr">
        <is>
          <t>Total / Average</t>
        </is>
      </c>
      <c r="B28" s="26" t="inlineStr"/>
      <c r="C28" s="26" t="inlineStr"/>
      <c r="D28" s="7">
        <f>SUM(D4:D27)</f>
        <v/>
      </c>
      <c r="E28" s="7">
        <f>SUM(E4:E27)</f>
        <v/>
      </c>
      <c r="F28" s="29">
        <f>AVERAGE(F4:F27)</f>
        <v/>
      </c>
      <c r="G28" s="30">
        <f>COUNTIF(G4:G27,"Yes")</f>
        <v/>
      </c>
      <c r="H28" s="7">
        <f>SUM(H4:H27)</f>
        <v/>
      </c>
      <c r="I28" s="25">
        <f>IF(D28=0,0,H28/D28)</f>
        <v/>
      </c>
      <c r="J28" s="30" t="inlineStr"/>
      <c r="K28" s="7">
        <f>SUM(K4:K27)</f>
        <v/>
      </c>
      <c r="L28" s="25">
        <f>IF(D28=0,0,K28/D28)</f>
        <v/>
      </c>
      <c r="M28" s="30" t="inlineStr"/>
      <c r="N28" s="7">
        <f>SUM(N4:N27)</f>
        <v/>
      </c>
      <c r="O28" s="7">
        <f>SUM(O4:O27)</f>
        <v/>
      </c>
      <c r="P28" s="7">
        <f>SUM(P4:P27)</f>
        <v/>
      </c>
      <c r="Q28" s="7">
        <f>SUM(Q4:Q27)</f>
        <v/>
      </c>
      <c r="R28" s="7">
        <f>SUM(R4:R27)</f>
        <v/>
      </c>
      <c r="S28" s="7">
        <f>SUM(S4:S27)</f>
        <v/>
      </c>
      <c r="T28" s="7">
        <f>SUM(T4:T27)</f>
        <v/>
      </c>
      <c r="U28" s="7">
        <f>SUM(U4:U27)</f>
        <v/>
      </c>
      <c r="V28" s="7">
        <f>SUM(V4:V27)</f>
        <v/>
      </c>
      <c r="W28" s="7">
        <f>SUM(W4:W27)</f>
        <v/>
      </c>
      <c r="X28" s="7">
        <f>SUM(X4:X27)</f>
        <v/>
      </c>
      <c r="Y28" s="7">
        <f>SUM(Y4:Y27)</f>
        <v/>
      </c>
      <c r="Z28" s="7">
        <f>SUM(Z4:Z27)</f>
        <v/>
      </c>
      <c r="AA28" s="7">
        <f>SUM(AA4:AA27)</f>
        <v/>
      </c>
      <c r="AB28" s="30">
        <f>COUNTIF(AB4:AB27,"Yes")</f>
        <v/>
      </c>
      <c r="AC28" s="7">
        <f>SUM(AC4:AC27)</f>
        <v/>
      </c>
      <c r="AD28" s="30">
        <f>COUNTIF(AD4:AD27,"Yes")</f>
        <v/>
      </c>
      <c r="AE28" s="7">
        <f>SUM(AE4:AE27)</f>
        <v/>
      </c>
      <c r="AF28" s="30">
        <f>COUNTIF(AF4:AF27,"Yes")</f>
        <v/>
      </c>
      <c r="AG28" s="7">
        <f>SUM(AG4:AG27)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50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G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2389985</v>
      </c>
      <c r="B4" s="12" t="inlineStr">
        <is>
          <t>01</t>
        </is>
      </c>
      <c r="C4" s="27" t="inlineStr">
        <is>
          <t>Trivandrum Toastmasters</t>
        </is>
      </c>
      <c r="D4" s="8">
        <f>ClubDetails!G129</f>
        <v/>
      </c>
      <c r="E4" s="8">
        <f>ClubDetails!H129</f>
        <v/>
      </c>
      <c r="F4" s="8">
        <f>ClubDetails!I129</f>
        <v/>
      </c>
      <c r="G4" s="12">
        <f>IF(F4&lt;5,"-",IF(E4&gt;19,"Yes",IF(E4&gt;D4+2,"Yes","-")))</f>
        <v/>
      </c>
      <c r="H4" s="8">
        <f>ClubDetails!K129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ClubDetails!L129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ClubDetails!M129</f>
        <v/>
      </c>
      <c r="O4" s="8">
        <f>ClubDetails!J129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28677100</v>
      </c>
      <c r="B5" s="12" t="inlineStr">
        <is>
          <t>01</t>
        </is>
      </c>
      <c r="C5" s="27" t="inlineStr">
        <is>
          <t>SADA India Toastmasters Club</t>
        </is>
      </c>
      <c r="D5" s="8">
        <f>ClubDetails!G130</f>
        <v/>
      </c>
      <c r="E5" s="8">
        <f>ClubDetails!H130</f>
        <v/>
      </c>
      <c r="F5" s="8">
        <f>ClubDetails!I130</f>
        <v/>
      </c>
      <c r="G5" s="12">
        <f>IF(F5&lt;5,"-",IF(E5&gt;19,"Yes",IF(E5&gt;D5+2,"Yes","-")))</f>
        <v/>
      </c>
      <c r="H5" s="8">
        <f>ClubDetails!K130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ClubDetails!L130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ClubDetails!M130</f>
        <v/>
      </c>
      <c r="O5" s="8">
        <f>ClubDetails!J130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28677544</v>
      </c>
      <c r="B6" s="12" t="inlineStr">
        <is>
          <t>01</t>
        </is>
      </c>
      <c r="C6" s="27" t="inlineStr">
        <is>
          <t>Neyyar Toastmasters Club</t>
        </is>
      </c>
      <c r="D6" s="8">
        <f>ClubDetails!G131</f>
        <v/>
      </c>
      <c r="E6" s="8">
        <f>ClubDetails!H131</f>
        <v/>
      </c>
      <c r="F6" s="8">
        <f>ClubDetails!I131</f>
        <v/>
      </c>
      <c r="G6" s="12">
        <f>IF(F6&lt;5,"-",IF(E6&gt;19,"Yes",IF(E6&gt;D6+2,"Yes","-")))</f>
        <v/>
      </c>
      <c r="H6" s="8">
        <f>ClubDetails!K131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ClubDetails!L131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ClubDetails!M131</f>
        <v/>
      </c>
      <c r="O6" s="8">
        <f>ClubDetails!J131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28678049</v>
      </c>
      <c r="B7" s="12" t="inlineStr">
        <is>
          <t>01</t>
        </is>
      </c>
      <c r="C7" s="27" t="inlineStr">
        <is>
          <t>TCS Maitree Trivandrum Toastmasters</t>
        </is>
      </c>
      <c r="D7" s="8">
        <f>ClubDetails!G132</f>
        <v/>
      </c>
      <c r="E7" s="8">
        <f>ClubDetails!H132</f>
        <v/>
      </c>
      <c r="F7" s="8">
        <f>ClubDetails!I132</f>
        <v/>
      </c>
      <c r="G7" s="12">
        <f>IF(F7&lt;5,"-",IF(E7&gt;19,"Yes",IF(E7&gt;D7+2,"Yes","-")))</f>
        <v/>
      </c>
      <c r="H7" s="8">
        <f>ClubDetails!K132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ClubDetails!L132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ClubDetails!M132</f>
        <v/>
      </c>
      <c r="O7" s="8">
        <f>ClubDetails!J132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28679400</v>
      </c>
      <c r="B8" s="12" t="inlineStr">
        <is>
          <t>01</t>
        </is>
      </c>
      <c r="C8" s="27" t="inlineStr">
        <is>
          <t>RRD Trivandrum Toastmasters Club</t>
        </is>
      </c>
      <c r="D8" s="8">
        <f>ClubDetails!G133</f>
        <v/>
      </c>
      <c r="E8" s="8">
        <f>ClubDetails!H133</f>
        <v/>
      </c>
      <c r="F8" s="8">
        <f>ClubDetails!I133</f>
        <v/>
      </c>
      <c r="G8" s="12">
        <f>IF(F8&lt;5,"-",IF(E8&gt;19,"Yes",IF(E8&gt;D8+2,"Yes","-")))</f>
        <v/>
      </c>
      <c r="H8" s="8">
        <f>ClubDetails!K133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ClubDetails!L133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ClubDetails!M133</f>
        <v/>
      </c>
      <c r="O8" s="8">
        <f>ClubDetails!J133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7291065</v>
      </c>
      <c r="B9" s="12" t="inlineStr">
        <is>
          <t>02</t>
        </is>
      </c>
      <c r="C9" s="27" t="inlineStr">
        <is>
          <t>H&amp;R Block Toastmasters</t>
        </is>
      </c>
      <c r="D9" s="8">
        <f>ClubDetails!G134</f>
        <v/>
      </c>
      <c r="E9" s="8">
        <f>ClubDetails!H134</f>
        <v/>
      </c>
      <c r="F9" s="8">
        <f>ClubDetails!I134</f>
        <v/>
      </c>
      <c r="G9" s="12">
        <f>IF(F9&lt;5,"-",IF(E9&gt;19,"Yes",IF(E9&gt;D9+2,"Yes","-")))</f>
        <v/>
      </c>
      <c r="H9" s="8">
        <f>ClubDetails!K134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ClubDetails!L134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ClubDetails!M134</f>
        <v/>
      </c>
      <c r="O9" s="8">
        <f>ClubDetails!J134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7844793</v>
      </c>
      <c r="B10" s="12" t="inlineStr">
        <is>
          <t>02</t>
        </is>
      </c>
      <c r="C10" s="27" t="inlineStr">
        <is>
          <t>Technopark Toastmasters</t>
        </is>
      </c>
      <c r="D10" s="8">
        <f>ClubDetails!G135</f>
        <v/>
      </c>
      <c r="E10" s="8">
        <f>ClubDetails!H135</f>
        <v/>
      </c>
      <c r="F10" s="8">
        <f>ClubDetails!I135</f>
        <v/>
      </c>
      <c r="G10" s="12">
        <f>IF(F10&lt;5,"-",IF(E10&gt;19,"Yes",IF(E10&gt;D10+2,"Yes","-")))</f>
        <v/>
      </c>
      <c r="H10" s="8">
        <f>ClubDetails!K135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ClubDetails!L135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ClubDetails!M135</f>
        <v/>
      </c>
      <c r="O10" s="8">
        <f>ClubDetails!J135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28675833</v>
      </c>
      <c r="B11" s="12" t="inlineStr">
        <is>
          <t>02</t>
        </is>
      </c>
      <c r="C11" s="27" t="inlineStr">
        <is>
          <t>DCSMAT TRIVANDRUM Toastmasters</t>
        </is>
      </c>
      <c r="D11" s="8">
        <f>ClubDetails!G136</f>
        <v/>
      </c>
      <c r="E11" s="8">
        <f>ClubDetails!H136</f>
        <v/>
      </c>
      <c r="F11" s="8">
        <f>ClubDetails!I136</f>
        <v/>
      </c>
      <c r="G11" s="12">
        <f>IF(F11&lt;5,"-",IF(E11&gt;19,"Yes",IF(E11&gt;D11+2,"Yes","-")))</f>
        <v/>
      </c>
      <c r="H11" s="8">
        <f>ClubDetails!K136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ClubDetails!L136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ClubDetails!M136</f>
        <v/>
      </c>
      <c r="O11" s="8">
        <f>ClubDetails!J136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28677502</v>
      </c>
      <c r="B12" s="12" t="inlineStr">
        <is>
          <t>02</t>
        </is>
      </c>
      <c r="C12" s="27" t="inlineStr">
        <is>
          <t>Allianz Services Toastmasters Club</t>
        </is>
      </c>
      <c r="D12" s="8">
        <f>ClubDetails!G137</f>
        <v/>
      </c>
      <c r="E12" s="8">
        <f>ClubDetails!H137</f>
        <v/>
      </c>
      <c r="F12" s="8">
        <f>ClubDetails!I137</f>
        <v/>
      </c>
      <c r="G12" s="12">
        <f>IF(F12&lt;5,"-",IF(E12&gt;19,"Yes",IF(E12&gt;D12+2,"Yes","-")))</f>
        <v/>
      </c>
      <c r="H12" s="8">
        <f>ClubDetails!K137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ClubDetails!L137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ClubDetails!M137</f>
        <v/>
      </c>
      <c r="O12" s="8">
        <f>ClubDetails!J137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28679587</v>
      </c>
      <c r="B13" s="12" t="inlineStr">
        <is>
          <t>02</t>
        </is>
      </c>
      <c r="C13" s="27" t="inlineStr">
        <is>
          <t>The Toastmasters' Travelogue</t>
        </is>
      </c>
      <c r="D13" s="8">
        <f>ClubDetails!G138</f>
        <v/>
      </c>
      <c r="E13" s="8">
        <f>ClubDetails!H138</f>
        <v/>
      </c>
      <c r="F13" s="8">
        <f>ClubDetails!I138</f>
        <v/>
      </c>
      <c r="G13" s="12">
        <f>IF(F13&lt;5,"-",IF(E13&gt;19,"Yes",IF(E13&gt;D13+2,"Yes","-")))</f>
        <v/>
      </c>
      <c r="H13" s="8">
        <f>ClubDetails!K138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ClubDetails!L138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ClubDetails!M138</f>
        <v/>
      </c>
      <c r="O13" s="8">
        <f>ClubDetails!J138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7843793</v>
      </c>
      <c r="B14" s="12" t="inlineStr">
        <is>
          <t>03</t>
        </is>
      </c>
      <c r="C14" s="27" t="inlineStr">
        <is>
          <t>Ananthapuri Toastmasters</t>
        </is>
      </c>
      <c r="D14" s="8">
        <f>ClubDetails!G139</f>
        <v/>
      </c>
      <c r="E14" s="8">
        <f>ClubDetails!H139</f>
        <v/>
      </c>
      <c r="F14" s="8">
        <f>ClubDetails!I139</f>
        <v/>
      </c>
      <c r="G14" s="12">
        <f>IF(F14&lt;5,"-",IF(E14&gt;19,"Yes",IF(E14&gt;D14+2,"Yes","-")))</f>
        <v/>
      </c>
      <c r="H14" s="8">
        <f>ClubDetails!K139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ClubDetails!L139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ClubDetails!M139</f>
        <v/>
      </c>
      <c r="O14" s="8">
        <f>ClubDetails!J139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7998505</v>
      </c>
      <c r="B15" s="12" t="inlineStr">
        <is>
          <t>03</t>
        </is>
      </c>
      <c r="C15" s="27" t="inlineStr">
        <is>
          <t>PMI Kerala Chapter Toastmasters Club</t>
        </is>
      </c>
      <c r="D15" s="8">
        <f>ClubDetails!G140</f>
        <v/>
      </c>
      <c r="E15" s="8">
        <f>ClubDetails!H140</f>
        <v/>
      </c>
      <c r="F15" s="8">
        <f>ClubDetails!I140</f>
        <v/>
      </c>
      <c r="G15" s="12">
        <f>IF(F15&lt;5,"-",IF(E15&gt;19,"Yes",IF(E15&gt;D15+2,"Yes","-")))</f>
        <v/>
      </c>
      <c r="H15" s="8">
        <f>ClubDetails!K140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ClubDetails!L140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ClubDetails!M140</f>
        <v/>
      </c>
      <c r="O15" s="8">
        <f>ClubDetails!J140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28677285</v>
      </c>
      <c r="B16" s="12" t="inlineStr">
        <is>
          <t>03</t>
        </is>
      </c>
      <c r="C16" s="27" t="inlineStr">
        <is>
          <t>SmarTalk Toastmasters</t>
        </is>
      </c>
      <c r="D16" s="8">
        <f>ClubDetails!G141</f>
        <v/>
      </c>
      <c r="E16" s="8">
        <f>ClubDetails!H141</f>
        <v/>
      </c>
      <c r="F16" s="8">
        <f>ClubDetails!I141</f>
        <v/>
      </c>
      <c r="G16" s="12">
        <f>IF(F16&lt;5,"-",IF(E16&gt;19,"Yes",IF(E16&gt;D16+2,"Yes","-")))</f>
        <v/>
      </c>
      <c r="H16" s="8">
        <f>ClubDetails!K141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ClubDetails!L141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ClubDetails!M141</f>
        <v/>
      </c>
      <c r="O16" s="8">
        <f>ClubDetails!J141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28678096</v>
      </c>
      <c r="B17" s="12" t="inlineStr">
        <is>
          <t>03</t>
        </is>
      </c>
      <c r="C17" s="27" t="inlineStr">
        <is>
          <t>Toastmasters of Trinfy</t>
        </is>
      </c>
      <c r="D17" s="8">
        <f>ClubDetails!G142</f>
        <v/>
      </c>
      <c r="E17" s="8">
        <f>ClubDetails!H142</f>
        <v/>
      </c>
      <c r="F17" s="8">
        <f>ClubDetails!I142</f>
        <v/>
      </c>
      <c r="G17" s="12">
        <f>IF(F17&lt;5,"-",IF(E17&gt;19,"Yes",IF(E17&gt;D17+2,"Yes","-")))</f>
        <v/>
      </c>
      <c r="H17" s="8">
        <f>ClubDetails!K142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ClubDetails!L142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ClubDetails!M142</f>
        <v/>
      </c>
      <c r="O17" s="8">
        <f>ClubDetails!J142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5044336</v>
      </c>
      <c r="B18" s="12" t="inlineStr">
        <is>
          <t>04</t>
        </is>
      </c>
      <c r="C18" s="27" t="inlineStr">
        <is>
          <t>The Quilon Toastmasters</t>
        </is>
      </c>
      <c r="D18" s="8">
        <f>ClubDetails!G143</f>
        <v/>
      </c>
      <c r="E18" s="8">
        <f>ClubDetails!H143</f>
        <v/>
      </c>
      <c r="F18" s="8">
        <f>ClubDetails!I143</f>
        <v/>
      </c>
      <c r="G18" s="12">
        <f>IF(F18&lt;5,"-",IF(E18&gt;19,"Yes",IF(E18&gt;D18+2,"Yes","-")))</f>
        <v/>
      </c>
      <c r="H18" s="8">
        <f>ClubDetails!K143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ClubDetails!L143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ClubDetails!M143</f>
        <v/>
      </c>
      <c r="O18" s="8">
        <f>ClubDetails!J143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5455119</v>
      </c>
      <c r="B19" s="12" t="inlineStr">
        <is>
          <t>04</t>
        </is>
      </c>
      <c r="C19" s="27" t="inlineStr">
        <is>
          <t>Centennial Orators</t>
        </is>
      </c>
      <c r="D19" s="8">
        <f>ClubDetails!G144</f>
        <v/>
      </c>
      <c r="E19" s="8">
        <f>ClubDetails!H144</f>
        <v/>
      </c>
      <c r="F19" s="8">
        <f>ClubDetails!I144</f>
        <v/>
      </c>
      <c r="G19" s="12">
        <f>IF(F19&lt;5,"-",IF(E19&gt;19,"Yes",IF(E19&gt;D19+2,"Yes","-")))</f>
        <v/>
      </c>
      <c r="H19" s="8">
        <f>ClubDetails!K144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ClubDetails!L144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ClubDetails!M144</f>
        <v/>
      </c>
      <c r="O19" s="8">
        <f>ClubDetails!J144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28675854</v>
      </c>
      <c r="B20" s="12" t="inlineStr">
        <is>
          <t>04</t>
        </is>
      </c>
      <c r="C20" s="27" t="inlineStr">
        <is>
          <t>SparkleV Toastmasters</t>
        </is>
      </c>
      <c r="D20" s="8">
        <f>ClubDetails!G145</f>
        <v/>
      </c>
      <c r="E20" s="8">
        <f>ClubDetails!H145</f>
        <v/>
      </c>
      <c r="F20" s="8">
        <f>ClubDetails!I145</f>
        <v/>
      </c>
      <c r="G20" s="12">
        <f>IF(F20&lt;5,"-",IF(E20&gt;19,"Yes",IF(E20&gt;D20+2,"Yes","-")))</f>
        <v/>
      </c>
      <c r="H20" s="8">
        <f>ClubDetails!K145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ClubDetails!L145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ClubDetails!M145</f>
        <v/>
      </c>
      <c r="O20" s="8">
        <f>ClubDetails!J145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28677130</v>
      </c>
      <c r="B21" s="12" t="inlineStr">
        <is>
          <t>04</t>
        </is>
      </c>
      <c r="C21" s="27" t="inlineStr">
        <is>
          <t>Amrita Amritapuri Toastmasters Club</t>
        </is>
      </c>
      <c r="D21" s="8">
        <f>ClubDetails!G146</f>
        <v/>
      </c>
      <c r="E21" s="8">
        <f>ClubDetails!H146</f>
        <v/>
      </c>
      <c r="F21" s="8">
        <f>ClubDetails!I146</f>
        <v/>
      </c>
      <c r="G21" s="12">
        <f>IF(F21&lt;5,"-",IF(E21&gt;19,"Yes",IF(E21&gt;D21+2,"Yes","-")))</f>
        <v/>
      </c>
      <c r="H21" s="8">
        <f>ClubDetails!K146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ClubDetails!L146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ClubDetails!M146</f>
        <v/>
      </c>
      <c r="O21" s="8">
        <f>ClubDetails!J146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28680203</v>
      </c>
      <c r="B22" s="12" t="inlineStr">
        <is>
          <t>04</t>
        </is>
      </c>
      <c r="C22" s="27" t="inlineStr">
        <is>
          <t>Allianz Technology Toastmasters Club Trivandrum</t>
        </is>
      </c>
      <c r="D22" s="8">
        <f>ClubDetails!G147</f>
        <v/>
      </c>
      <c r="E22" s="8">
        <f>ClubDetails!H147</f>
        <v/>
      </c>
      <c r="F22" s="8">
        <f>ClubDetails!I147</f>
        <v/>
      </c>
      <c r="G22" s="12">
        <f>IF(F22&lt;5,"-",IF(E22&gt;19,"Yes",IF(E22&gt;D22+2,"Yes","-")))</f>
        <v/>
      </c>
      <c r="H22" s="8">
        <f>ClubDetails!K147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ClubDetails!L147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ClubDetails!M147</f>
        <v/>
      </c>
      <c r="O22" s="8">
        <f>ClubDetails!J147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30" t="inlineStr"/>
      <c r="K23" s="7">
        <f>SUM(K4:K22)</f>
        <v/>
      </c>
      <c r="L23" s="25">
        <f>IF(D23=0,0,K23/D23)</f>
        <v/>
      </c>
      <c r="M23" s="30" t="inlineStr"/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7">
        <f>SUM(Z4:Z22)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  <c r="AF23" s="30">
        <f>COUNTIF(AF4:AF22,"Yes")</f>
        <v/>
      </c>
      <c r="AG23" s="7">
        <f>SUM(AG4:AG22)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9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H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691074</v>
      </c>
      <c r="B4" s="12" t="inlineStr">
        <is>
          <t>01</t>
        </is>
      </c>
      <c r="C4" s="27" t="inlineStr">
        <is>
          <t>Kochi Club</t>
        </is>
      </c>
      <c r="D4" s="8">
        <f>ClubDetails!G148</f>
        <v/>
      </c>
      <c r="E4" s="8">
        <f>ClubDetails!H148</f>
        <v/>
      </c>
      <c r="F4" s="8">
        <f>ClubDetails!I148</f>
        <v/>
      </c>
      <c r="G4" s="12">
        <f>IF(F4&lt;5,"-",IF(E4&gt;19,"Yes",IF(E4&gt;D4+2,"Yes","-")))</f>
        <v/>
      </c>
      <c r="H4" s="8">
        <f>ClubDetails!K148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ClubDetails!L148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ClubDetails!M148</f>
        <v/>
      </c>
      <c r="O4" s="8">
        <f>ClubDetails!J148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1418339</v>
      </c>
      <c r="B5" s="12" t="inlineStr">
        <is>
          <t>01</t>
        </is>
      </c>
      <c r="C5" s="27" t="inlineStr">
        <is>
          <t>Assisi Toastmasters</t>
        </is>
      </c>
      <c r="D5" s="8">
        <f>ClubDetails!G149</f>
        <v/>
      </c>
      <c r="E5" s="8">
        <f>ClubDetails!H149</f>
        <v/>
      </c>
      <c r="F5" s="8">
        <f>ClubDetails!I149</f>
        <v/>
      </c>
      <c r="G5" s="12">
        <f>IF(F5&lt;5,"-",IF(E5&gt;19,"Yes",IF(E5&gt;D5+2,"Yes","-")))</f>
        <v/>
      </c>
      <c r="H5" s="8">
        <f>ClubDetails!K149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ClubDetails!L149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ClubDetails!M149</f>
        <v/>
      </c>
      <c r="O5" s="8">
        <f>ClubDetails!J149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4936848</v>
      </c>
      <c r="B6" s="12" t="inlineStr">
        <is>
          <t>01</t>
        </is>
      </c>
      <c r="C6" s="27" t="inlineStr">
        <is>
          <t>Special Zone Toastmasters</t>
        </is>
      </c>
      <c r="D6" s="8">
        <f>ClubDetails!G150</f>
        <v/>
      </c>
      <c r="E6" s="8">
        <f>ClubDetails!H150</f>
        <v/>
      </c>
      <c r="F6" s="8">
        <f>ClubDetails!I150</f>
        <v/>
      </c>
      <c r="G6" s="12">
        <f>IF(F6&lt;5,"-",IF(E6&gt;19,"Yes",IF(E6&gt;D6+2,"Yes","-")))</f>
        <v/>
      </c>
      <c r="H6" s="8">
        <f>ClubDetails!K150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ClubDetails!L150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ClubDetails!M150</f>
        <v/>
      </c>
      <c r="O6" s="8">
        <f>ClubDetails!J150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5409237</v>
      </c>
      <c r="B7" s="12" t="inlineStr">
        <is>
          <t>01</t>
        </is>
      </c>
      <c r="C7" s="27" t="inlineStr">
        <is>
          <t>Spicy Toastmasters</t>
        </is>
      </c>
      <c r="D7" s="8">
        <f>ClubDetails!G151</f>
        <v/>
      </c>
      <c r="E7" s="8">
        <f>ClubDetails!H151</f>
        <v/>
      </c>
      <c r="F7" s="8">
        <f>ClubDetails!I151</f>
        <v/>
      </c>
      <c r="G7" s="12">
        <f>IF(F7&lt;5,"-",IF(E7&gt;19,"Yes",IF(E7&gt;D7+2,"Yes","-")))</f>
        <v/>
      </c>
      <c r="H7" s="8">
        <f>ClubDetails!K151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ClubDetails!L151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ClubDetails!M151</f>
        <v/>
      </c>
      <c r="O7" s="8">
        <f>ClubDetails!J151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28675794</v>
      </c>
      <c r="B8" s="12" t="inlineStr">
        <is>
          <t>01</t>
        </is>
      </c>
      <c r="C8" s="27" t="inlineStr">
        <is>
          <t>Toastmasters of MITS</t>
        </is>
      </c>
      <c r="D8" s="8">
        <f>ClubDetails!G152</f>
        <v/>
      </c>
      <c r="E8" s="8">
        <f>ClubDetails!H152</f>
        <v/>
      </c>
      <c r="F8" s="8">
        <f>ClubDetails!I152</f>
        <v/>
      </c>
      <c r="G8" s="12">
        <f>IF(F8&lt;5,"-",IF(E8&gt;19,"Yes",IF(E8&gt;D8+2,"Yes","-")))</f>
        <v/>
      </c>
      <c r="H8" s="8">
        <f>ClubDetails!K152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ClubDetails!L152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ClubDetails!M152</f>
        <v/>
      </c>
      <c r="O8" s="8">
        <f>ClubDetails!J152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1376605</v>
      </c>
      <c r="B9" s="12" t="inlineStr">
        <is>
          <t>02</t>
        </is>
      </c>
      <c r="C9" s="27" t="inlineStr">
        <is>
          <t>Travancore Toastmasters Club</t>
        </is>
      </c>
      <c r="D9" s="8">
        <f>ClubDetails!G153</f>
        <v/>
      </c>
      <c r="E9" s="8">
        <f>ClubDetails!H153</f>
        <v/>
      </c>
      <c r="F9" s="8">
        <f>ClubDetails!I153</f>
        <v/>
      </c>
      <c r="G9" s="12">
        <f>IF(F9&lt;5,"-",IF(E9&gt;19,"Yes",IF(E9&gt;D9+2,"Yes","-")))</f>
        <v/>
      </c>
      <c r="H9" s="8">
        <f>ClubDetails!K153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ClubDetails!L153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ClubDetails!M153</f>
        <v/>
      </c>
      <c r="O9" s="8">
        <f>ClubDetails!J153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1379339</v>
      </c>
      <c r="B10" s="12" t="inlineStr">
        <is>
          <t>02</t>
        </is>
      </c>
      <c r="C10" s="27" t="inlineStr">
        <is>
          <t>TCS Maitree Toastmasters Club: Kochi</t>
        </is>
      </c>
      <c r="D10" s="8">
        <f>ClubDetails!G154</f>
        <v/>
      </c>
      <c r="E10" s="8">
        <f>ClubDetails!H154</f>
        <v/>
      </c>
      <c r="F10" s="8">
        <f>ClubDetails!I154</f>
        <v/>
      </c>
      <c r="G10" s="12">
        <f>IF(F10&lt;5,"-",IF(E10&gt;19,"Yes",IF(E10&gt;D10+2,"Yes","-")))</f>
        <v/>
      </c>
      <c r="H10" s="8">
        <f>ClubDetails!K154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ClubDetails!L154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ClubDetails!M154</f>
        <v/>
      </c>
      <c r="O10" s="8">
        <f>ClubDetails!J154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5342790</v>
      </c>
      <c r="B11" s="12" t="inlineStr">
        <is>
          <t>02</t>
        </is>
      </c>
      <c r="C11" s="27" t="inlineStr">
        <is>
          <t>Tripunithura Toastmasters</t>
        </is>
      </c>
      <c r="D11" s="8">
        <f>ClubDetails!G155</f>
        <v/>
      </c>
      <c r="E11" s="8">
        <f>ClubDetails!H155</f>
        <v/>
      </c>
      <c r="F11" s="8">
        <f>ClubDetails!I155</f>
        <v/>
      </c>
      <c r="G11" s="12">
        <f>IF(F11&lt;5,"-",IF(E11&gt;19,"Yes",IF(E11&gt;D11+2,"Yes","-")))</f>
        <v/>
      </c>
      <c r="H11" s="8">
        <f>ClubDetails!K155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ClubDetails!L155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ClubDetails!M155</f>
        <v/>
      </c>
      <c r="O11" s="8">
        <f>ClubDetails!J155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28677516</v>
      </c>
      <c r="B12" s="12" t="inlineStr">
        <is>
          <t>02</t>
        </is>
      </c>
      <c r="C12" s="27" t="inlineStr">
        <is>
          <t>V Guard Toastmasters Club</t>
        </is>
      </c>
      <c r="D12" s="8">
        <f>ClubDetails!G156</f>
        <v/>
      </c>
      <c r="E12" s="8">
        <f>ClubDetails!H156</f>
        <v/>
      </c>
      <c r="F12" s="8">
        <f>ClubDetails!I156</f>
        <v/>
      </c>
      <c r="G12" s="12">
        <f>IF(F12&lt;5,"-",IF(E12&gt;19,"Yes",IF(E12&gt;D12+2,"Yes","-")))</f>
        <v/>
      </c>
      <c r="H12" s="8">
        <f>ClubDetails!K156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ClubDetails!L156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ClubDetails!M156</f>
        <v/>
      </c>
      <c r="O12" s="8">
        <f>ClubDetails!J156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28678681</v>
      </c>
      <c r="B13" s="12" t="inlineStr">
        <is>
          <t>02</t>
        </is>
      </c>
      <c r="C13" s="27" t="inlineStr">
        <is>
          <t>IBS Software Cochin Toastmasters</t>
        </is>
      </c>
      <c r="D13" s="8">
        <f>ClubDetails!G157</f>
        <v/>
      </c>
      <c r="E13" s="8">
        <f>ClubDetails!H157</f>
        <v/>
      </c>
      <c r="F13" s="8">
        <f>ClubDetails!I157</f>
        <v/>
      </c>
      <c r="G13" s="12">
        <f>IF(F13&lt;5,"-",IF(E13&gt;19,"Yes",IF(E13&gt;D13+2,"Yes","-")))</f>
        <v/>
      </c>
      <c r="H13" s="8">
        <f>ClubDetails!K157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ClubDetails!L157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ClubDetails!M157</f>
        <v/>
      </c>
      <c r="O13" s="8">
        <f>ClubDetails!J157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3903550</v>
      </c>
      <c r="B14" s="12" t="inlineStr">
        <is>
          <t>03</t>
        </is>
      </c>
      <c r="C14" s="27" t="inlineStr">
        <is>
          <t>Smartcity Toastmasters</t>
        </is>
      </c>
      <c r="D14" s="8">
        <f>ClubDetails!G158</f>
        <v/>
      </c>
      <c r="E14" s="8">
        <f>ClubDetails!H158</f>
        <v/>
      </c>
      <c r="F14" s="8">
        <f>ClubDetails!I158</f>
        <v/>
      </c>
      <c r="G14" s="12">
        <f>IF(F14&lt;5,"-",IF(E14&gt;19,"Yes",IF(E14&gt;D14+2,"Yes","-")))</f>
        <v/>
      </c>
      <c r="H14" s="8">
        <f>ClubDetails!K158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ClubDetails!L158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ClubDetails!M158</f>
        <v/>
      </c>
      <c r="O14" s="8">
        <f>ClubDetails!J158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4270664</v>
      </c>
      <c r="B15" s="12" t="inlineStr">
        <is>
          <t>03</t>
        </is>
      </c>
      <c r="C15" s="27" t="inlineStr">
        <is>
          <t>Hubbell India Cochin</t>
        </is>
      </c>
      <c r="D15" s="8">
        <f>ClubDetails!G159</f>
        <v/>
      </c>
      <c r="E15" s="8">
        <f>ClubDetails!H159</f>
        <v/>
      </c>
      <c r="F15" s="8">
        <f>ClubDetails!I159</f>
        <v/>
      </c>
      <c r="G15" s="12">
        <f>IF(F15&lt;5,"-",IF(E15&gt;19,"Yes",IF(E15&gt;D15+2,"Yes","-")))</f>
        <v/>
      </c>
      <c r="H15" s="8">
        <f>ClubDetails!K159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ClubDetails!L159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ClubDetails!M159</f>
        <v/>
      </c>
      <c r="O15" s="8">
        <f>ClubDetails!J159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5025457</v>
      </c>
      <c r="B16" s="12" t="inlineStr">
        <is>
          <t>03</t>
        </is>
      </c>
      <c r="C16" s="27" t="inlineStr">
        <is>
          <t>Advanced Toastmasters of Kerala</t>
        </is>
      </c>
      <c r="D16" s="8">
        <f>ClubDetails!G160</f>
        <v/>
      </c>
      <c r="E16" s="8">
        <f>ClubDetails!H160</f>
        <v/>
      </c>
      <c r="F16" s="8">
        <f>ClubDetails!I160</f>
        <v/>
      </c>
      <c r="G16" s="12">
        <f>IF(F16&lt;5,"-",IF(E16&gt;19,"Yes",IF(E16&gt;D16+2,"Yes","-")))</f>
        <v/>
      </c>
      <c r="H16" s="8">
        <f>ClubDetails!K160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ClubDetails!L160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ClubDetails!M160</f>
        <v/>
      </c>
      <c r="O16" s="8">
        <f>ClubDetails!J160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7772212</v>
      </c>
      <c r="B17" s="12" t="inlineStr">
        <is>
          <t>03</t>
        </is>
      </c>
      <c r="C17" s="27" t="inlineStr">
        <is>
          <t>Wipro Kochi Toastmasters Club</t>
        </is>
      </c>
      <c r="D17" s="8">
        <f>ClubDetails!G161</f>
        <v/>
      </c>
      <c r="E17" s="8">
        <f>ClubDetails!H161</f>
        <v/>
      </c>
      <c r="F17" s="8">
        <f>ClubDetails!I161</f>
        <v/>
      </c>
      <c r="G17" s="12">
        <f>IF(F17&lt;5,"-",IF(E17&gt;19,"Yes",IF(E17&gt;D17+2,"Yes","-")))</f>
        <v/>
      </c>
      <c r="H17" s="8">
        <f>ClubDetails!K161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ClubDetails!L161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ClubDetails!M161</f>
        <v/>
      </c>
      <c r="O17" s="8">
        <f>ClubDetails!J161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28678592</v>
      </c>
      <c r="B18" s="12" t="inlineStr">
        <is>
          <t>03</t>
        </is>
      </c>
      <c r="C18" s="27" t="inlineStr">
        <is>
          <t>Orion Orators</t>
        </is>
      </c>
      <c r="D18" s="8">
        <f>ClubDetails!G162</f>
        <v/>
      </c>
      <c r="E18" s="8">
        <f>ClubDetails!H162</f>
        <v/>
      </c>
      <c r="F18" s="8">
        <f>ClubDetails!I162</f>
        <v/>
      </c>
      <c r="G18" s="12">
        <f>IF(F18&lt;5,"-",IF(E18&gt;19,"Yes",IF(E18&gt;D18+2,"Yes","-")))</f>
        <v/>
      </c>
      <c r="H18" s="8">
        <f>ClubDetails!K162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ClubDetails!L162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ClubDetails!M162</f>
        <v/>
      </c>
      <c r="O18" s="8">
        <f>ClubDetails!J162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6048274</v>
      </c>
      <c r="B19" s="12" t="inlineStr">
        <is>
          <t>04</t>
        </is>
      </c>
      <c r="C19" s="27" t="inlineStr">
        <is>
          <t>Mathrumalayalam Toastmasters Club</t>
        </is>
      </c>
      <c r="D19" s="8">
        <f>ClubDetails!G163</f>
        <v/>
      </c>
      <c r="E19" s="8">
        <f>ClubDetails!H163</f>
        <v/>
      </c>
      <c r="F19" s="8">
        <f>ClubDetails!I163</f>
        <v/>
      </c>
      <c r="G19" s="12">
        <f>IF(F19&lt;5,"-",IF(E19&gt;19,"Yes",IF(E19&gt;D19+2,"Yes","-")))</f>
        <v/>
      </c>
      <c r="H19" s="8">
        <f>ClubDetails!K163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ClubDetails!L163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ClubDetails!M163</f>
        <v/>
      </c>
      <c r="O19" s="8">
        <f>ClubDetails!J163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7632625</v>
      </c>
      <c r="B20" s="12" t="inlineStr">
        <is>
          <t>04</t>
        </is>
      </c>
      <c r="C20" s="27" t="inlineStr">
        <is>
          <t>Kottayam Toastmasters Club</t>
        </is>
      </c>
      <c r="D20" s="8">
        <f>ClubDetails!G164</f>
        <v/>
      </c>
      <c r="E20" s="8">
        <f>ClubDetails!H164</f>
        <v/>
      </c>
      <c r="F20" s="8">
        <f>ClubDetails!I164</f>
        <v/>
      </c>
      <c r="G20" s="12">
        <f>IF(F20&lt;5,"-",IF(E20&gt;19,"Yes",IF(E20&gt;D20+2,"Yes","-")))</f>
        <v/>
      </c>
      <c r="H20" s="8">
        <f>ClubDetails!K164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ClubDetails!L164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ClubDetails!M164</f>
        <v/>
      </c>
      <c r="O20" s="8">
        <f>ClubDetails!J164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7904546</v>
      </c>
      <c r="B21" s="12" t="inlineStr">
        <is>
          <t>04</t>
        </is>
      </c>
      <c r="C21" s="27" t="inlineStr">
        <is>
          <t>Eloquent Champs Toastmasters Club</t>
        </is>
      </c>
      <c r="D21" s="8">
        <f>ClubDetails!G165</f>
        <v/>
      </c>
      <c r="E21" s="8">
        <f>ClubDetails!H165</f>
        <v/>
      </c>
      <c r="F21" s="8">
        <f>ClubDetails!I165</f>
        <v/>
      </c>
      <c r="G21" s="12">
        <f>IF(F21&lt;5,"-",IF(E21&gt;19,"Yes",IF(E21&gt;D21+2,"Yes","-")))</f>
        <v/>
      </c>
      <c r="H21" s="8">
        <f>ClubDetails!K165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ClubDetails!L165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ClubDetails!M165</f>
        <v/>
      </c>
      <c r="O21" s="8">
        <f>ClubDetails!J165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28677133</v>
      </c>
      <c r="B22" s="12" t="inlineStr">
        <is>
          <t>04</t>
        </is>
      </c>
      <c r="C22" s="27" t="inlineStr">
        <is>
          <t>Thodupuzha Toastmasters Club</t>
        </is>
      </c>
      <c r="D22" s="8">
        <f>ClubDetails!G166</f>
        <v/>
      </c>
      <c r="E22" s="8">
        <f>ClubDetails!H166</f>
        <v/>
      </c>
      <c r="F22" s="8">
        <f>ClubDetails!I166</f>
        <v/>
      </c>
      <c r="G22" s="12">
        <f>IF(F22&lt;5,"-",IF(E22&gt;19,"Yes",IF(E22&gt;D22+2,"Yes","-")))</f>
        <v/>
      </c>
      <c r="H22" s="8">
        <f>ClubDetails!K166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ClubDetails!L166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ClubDetails!M166</f>
        <v/>
      </c>
      <c r="O22" s="8">
        <f>ClubDetails!J166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12" t="n">
        <v>1522721</v>
      </c>
      <c r="B23" s="12" t="inlineStr">
        <is>
          <t>05</t>
        </is>
      </c>
      <c r="C23" s="27" t="inlineStr">
        <is>
          <t>Kerala Toastmasters</t>
        </is>
      </c>
      <c r="D23" s="8">
        <f>ClubDetails!G167</f>
        <v/>
      </c>
      <c r="E23" s="8">
        <f>ClubDetails!H167</f>
        <v/>
      </c>
      <c r="F23" s="8">
        <f>ClubDetails!I167</f>
        <v/>
      </c>
      <c r="G23" s="12">
        <f>IF(F23&lt;5,"-",IF(E23&gt;19,"Yes",IF(E23&gt;D23+2,"Yes","-")))</f>
        <v/>
      </c>
      <c r="H23" s="8">
        <f>ClubDetails!K167</f>
        <v/>
      </c>
      <c r="I23" s="28">
        <f>IF(D23=0,0,H23/D23)</f>
        <v/>
      </c>
      <c r="J23" s="12">
        <f>IF(H23=0,"Renewals not here",IF(H23&lt;3,"Ineligible",IF(D23&lt;8,"Low","Active")))</f>
        <v/>
      </c>
      <c r="K23" s="8">
        <f>ClubDetails!L167</f>
        <v/>
      </c>
      <c r="L23" s="28">
        <f>IF(D23=0,0,K23/D23)</f>
        <v/>
      </c>
      <c r="M23" s="12">
        <f>IF(K23=0,"Renewals not here",IF(K23&lt;3,"Ineligible",IF(E23&lt;8,"Low","Active")))</f>
        <v/>
      </c>
      <c r="N23" s="8">
        <f>ClubDetails!M167</f>
        <v/>
      </c>
      <c r="O23" s="8">
        <f>ClubDetails!J167</f>
        <v/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12">
        <f>IF(SUM(Q23:R23)&gt;=5,"Yes","No")</f>
        <v/>
      </c>
      <c r="AC23" s="8">
        <f>IF(SUM(Q23:R23)&gt;=5,0,5-SUM(Q23:R23))</f>
        <v/>
      </c>
      <c r="AD23" s="12">
        <f>IF(SUM(W23:X23)&gt;=5,"Yes","No")</f>
        <v/>
      </c>
      <c r="AE23" s="8">
        <f>IF(SUM(W23:X23)&gt;=5,0,5-SUM(W23:X23))</f>
        <v/>
      </c>
      <c r="AF23" s="12">
        <f>IF(SUM(Z23:AA23)&gt;=5,"Yes","No")</f>
        <v/>
      </c>
      <c r="AG23" s="8">
        <f>IF(SUM(Z23:AA23)&gt;=5,0,5-SUM(Z23:AA23))</f>
        <v/>
      </c>
    </row>
    <row r="24">
      <c r="A24" s="12" t="n">
        <v>1593046</v>
      </c>
      <c r="B24" s="12" t="inlineStr">
        <is>
          <t>05</t>
        </is>
      </c>
      <c r="C24" s="27" t="inlineStr">
        <is>
          <t>Chartered Toast Masters</t>
        </is>
      </c>
      <c r="D24" s="8">
        <f>ClubDetails!G168</f>
        <v/>
      </c>
      <c r="E24" s="8">
        <f>ClubDetails!H168</f>
        <v/>
      </c>
      <c r="F24" s="8">
        <f>ClubDetails!I168</f>
        <v/>
      </c>
      <c r="G24" s="12">
        <f>IF(F24&lt;5,"-",IF(E24&gt;19,"Yes",IF(E24&gt;D24+2,"Yes","-")))</f>
        <v/>
      </c>
      <c r="H24" s="8">
        <f>ClubDetails!K168</f>
        <v/>
      </c>
      <c r="I24" s="28">
        <f>IF(D24=0,0,H24/D24)</f>
        <v/>
      </c>
      <c r="J24" s="12">
        <f>IF(H24=0,"Renewals not here",IF(H24&lt;3,"Ineligible",IF(D24&lt;8,"Low","Active")))</f>
        <v/>
      </c>
      <c r="K24" s="8">
        <f>ClubDetails!L168</f>
        <v/>
      </c>
      <c r="L24" s="28">
        <f>IF(D24=0,0,K24/D24)</f>
        <v/>
      </c>
      <c r="M24" s="12">
        <f>IF(K24=0,"Renewals not here",IF(K24&lt;3,"Ineligible",IF(E24&lt;8,"Low","Active")))</f>
        <v/>
      </c>
      <c r="N24" s="8">
        <f>ClubDetails!M168</f>
        <v/>
      </c>
      <c r="O24" s="8">
        <f>ClubDetails!J168</f>
        <v/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12">
        <f>IF(SUM(Q24:R24)&gt;=5,"Yes","No")</f>
        <v/>
      </c>
      <c r="AC24" s="8">
        <f>IF(SUM(Q24:R24)&gt;=5,0,5-SUM(Q24:R24))</f>
        <v/>
      </c>
      <c r="AD24" s="12">
        <f>IF(SUM(W24:X24)&gt;=5,"Yes","No")</f>
        <v/>
      </c>
      <c r="AE24" s="8">
        <f>IF(SUM(W24:X24)&gt;=5,0,5-SUM(W24:X24))</f>
        <v/>
      </c>
      <c r="AF24" s="12">
        <f>IF(SUM(Z24:AA24)&gt;=5,"Yes","No")</f>
        <v/>
      </c>
      <c r="AG24" s="8">
        <f>IF(SUM(Z24:AA24)&gt;=5,0,5-SUM(Z24:AA24))</f>
        <v/>
      </c>
    </row>
    <row r="25">
      <c r="A25" s="12" t="n">
        <v>1669119</v>
      </c>
      <c r="B25" s="12" t="inlineStr">
        <is>
          <t>05</t>
        </is>
      </c>
      <c r="C25" s="27" t="inlineStr">
        <is>
          <t>Refinian Toastmasters Club</t>
        </is>
      </c>
      <c r="D25" s="8">
        <f>ClubDetails!G169</f>
        <v/>
      </c>
      <c r="E25" s="8">
        <f>ClubDetails!H169</f>
        <v/>
      </c>
      <c r="F25" s="8">
        <f>ClubDetails!I169</f>
        <v/>
      </c>
      <c r="G25" s="12">
        <f>IF(F25&lt;5,"-",IF(E25&gt;19,"Yes",IF(E25&gt;D25+2,"Yes","-")))</f>
        <v/>
      </c>
      <c r="H25" s="8">
        <f>ClubDetails!K169</f>
        <v/>
      </c>
      <c r="I25" s="28">
        <f>IF(D25=0,0,H25/D25)</f>
        <v/>
      </c>
      <c r="J25" s="12">
        <f>IF(H25=0,"Renewals not here",IF(H25&lt;3,"Ineligible",IF(D25&lt;8,"Low","Active")))</f>
        <v/>
      </c>
      <c r="K25" s="8">
        <f>ClubDetails!L169</f>
        <v/>
      </c>
      <c r="L25" s="28">
        <f>IF(D25=0,0,K25/D25)</f>
        <v/>
      </c>
      <c r="M25" s="12">
        <f>IF(K25=0,"Renewals not here",IF(K25&lt;3,"Ineligible",IF(E25&lt;8,"Low","Active")))</f>
        <v/>
      </c>
      <c r="N25" s="8">
        <f>ClubDetails!M169</f>
        <v/>
      </c>
      <c r="O25" s="8">
        <f>ClubDetails!J169</f>
        <v/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12">
        <f>IF(SUM(Q25:R25)&gt;=5,"Yes","No")</f>
        <v/>
      </c>
      <c r="AC25" s="8">
        <f>IF(SUM(Q25:R25)&gt;=5,0,5-SUM(Q25:R25))</f>
        <v/>
      </c>
      <c r="AD25" s="12">
        <f>IF(SUM(W25:X25)&gt;=5,"Yes","No")</f>
        <v/>
      </c>
      <c r="AE25" s="8">
        <f>IF(SUM(W25:X25)&gt;=5,0,5-SUM(W25:X25))</f>
        <v/>
      </c>
      <c r="AF25" s="12">
        <f>IF(SUM(Z25:AA25)&gt;=5,"Yes","No")</f>
        <v/>
      </c>
      <c r="AG25" s="8">
        <f>IF(SUM(Z25:AA25)&gt;=5,0,5-SUM(Z25:AA25))</f>
        <v/>
      </c>
    </row>
    <row r="26">
      <c r="A26" s="12" t="n">
        <v>7679326</v>
      </c>
      <c r="B26" s="12" t="inlineStr">
        <is>
          <t>05</t>
        </is>
      </c>
      <c r="C26" s="27" t="inlineStr">
        <is>
          <t>Litmus7 Kochi Toastmasters Club</t>
        </is>
      </c>
      <c r="D26" s="8">
        <f>ClubDetails!G170</f>
        <v/>
      </c>
      <c r="E26" s="8">
        <f>ClubDetails!H170</f>
        <v/>
      </c>
      <c r="F26" s="8">
        <f>ClubDetails!I170</f>
        <v/>
      </c>
      <c r="G26" s="12">
        <f>IF(F26&lt;5,"-",IF(E26&gt;19,"Yes",IF(E26&gt;D26+2,"Yes","-")))</f>
        <v/>
      </c>
      <c r="H26" s="8">
        <f>ClubDetails!K170</f>
        <v/>
      </c>
      <c r="I26" s="28">
        <f>IF(D26=0,0,H26/D26)</f>
        <v/>
      </c>
      <c r="J26" s="12">
        <f>IF(H26=0,"Renewals not here",IF(H26&lt;3,"Ineligible",IF(D26&lt;8,"Low","Active")))</f>
        <v/>
      </c>
      <c r="K26" s="8">
        <f>ClubDetails!L170</f>
        <v/>
      </c>
      <c r="L26" s="28">
        <f>IF(D26=0,0,K26/D26)</f>
        <v/>
      </c>
      <c r="M26" s="12">
        <f>IF(K26=0,"Renewals not here",IF(K26&lt;3,"Ineligible",IF(E26&lt;8,"Low","Active")))</f>
        <v/>
      </c>
      <c r="N26" s="8">
        <f>ClubDetails!M170</f>
        <v/>
      </c>
      <c r="O26" s="8">
        <f>ClubDetails!J170</f>
        <v/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12">
        <f>IF(SUM(Q26:R26)&gt;=5,"Yes","No")</f>
        <v/>
      </c>
      <c r="AC26" s="8">
        <f>IF(SUM(Q26:R26)&gt;=5,0,5-SUM(Q26:R26))</f>
        <v/>
      </c>
      <c r="AD26" s="12">
        <f>IF(SUM(W26:X26)&gt;=5,"Yes","No")</f>
        <v/>
      </c>
      <c r="AE26" s="8">
        <f>IF(SUM(W26:X26)&gt;=5,0,5-SUM(W26:X26))</f>
        <v/>
      </c>
      <c r="AF26" s="12">
        <f>IF(SUM(Z26:AA26)&gt;=5,"Yes","No")</f>
        <v/>
      </c>
      <c r="AG26" s="8">
        <f>IF(SUM(Z26:AA26)&gt;=5,0,5-SUM(Z26:AA26))</f>
        <v/>
      </c>
    </row>
    <row r="27">
      <c r="A27" s="12" t="n">
        <v>7980410</v>
      </c>
      <c r="B27" s="12" t="inlineStr">
        <is>
          <t>05</t>
        </is>
      </c>
      <c r="C27" s="27" t="inlineStr">
        <is>
          <t>Queen City Toastmasters</t>
        </is>
      </c>
      <c r="D27" s="8">
        <f>ClubDetails!G171</f>
        <v/>
      </c>
      <c r="E27" s="8">
        <f>ClubDetails!H171</f>
        <v/>
      </c>
      <c r="F27" s="8">
        <f>ClubDetails!I171</f>
        <v/>
      </c>
      <c r="G27" s="12">
        <f>IF(F27&lt;5,"-",IF(E27&gt;19,"Yes",IF(E27&gt;D27+2,"Yes","-")))</f>
        <v/>
      </c>
      <c r="H27" s="8">
        <f>ClubDetails!K171</f>
        <v/>
      </c>
      <c r="I27" s="28">
        <f>IF(D27=0,0,H27/D27)</f>
        <v/>
      </c>
      <c r="J27" s="12">
        <f>IF(H27=0,"Renewals not here",IF(H27&lt;3,"Ineligible",IF(D27&lt;8,"Low","Active")))</f>
        <v/>
      </c>
      <c r="K27" s="8">
        <f>ClubDetails!L171</f>
        <v/>
      </c>
      <c r="L27" s="28">
        <f>IF(D27=0,0,K27/D27)</f>
        <v/>
      </c>
      <c r="M27" s="12">
        <f>IF(K27=0,"Renewals not here",IF(K27&lt;3,"Ineligible",IF(E27&lt;8,"Low","Active")))</f>
        <v/>
      </c>
      <c r="N27" s="8">
        <f>ClubDetails!M171</f>
        <v/>
      </c>
      <c r="O27" s="8">
        <f>ClubDetails!J171</f>
        <v/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12">
        <f>IF(SUM(Q27:R27)&gt;=5,"Yes","No")</f>
        <v/>
      </c>
      <c r="AC27" s="8">
        <f>IF(SUM(Q27:R27)&gt;=5,0,5-SUM(Q27:R27))</f>
        <v/>
      </c>
      <c r="AD27" s="12">
        <f>IF(SUM(W27:X27)&gt;=5,"Yes","No")</f>
        <v/>
      </c>
      <c r="AE27" s="8">
        <f>IF(SUM(W27:X27)&gt;=5,0,5-SUM(W27:X27))</f>
        <v/>
      </c>
      <c r="AF27" s="12">
        <f>IF(SUM(Z27:AA27)&gt;=5,"Yes","No")</f>
        <v/>
      </c>
      <c r="AG27" s="8">
        <f>IF(SUM(Z27:AA27)&gt;=5,0,5-SUM(Z27:AA27))</f>
        <v/>
      </c>
    </row>
    <row r="28">
      <c r="A28" s="24" t="inlineStr">
        <is>
          <t>Total / Average</t>
        </is>
      </c>
      <c r="B28" s="26" t="inlineStr"/>
      <c r="C28" s="26" t="inlineStr"/>
      <c r="D28" s="7">
        <f>SUM(D4:D27)</f>
        <v/>
      </c>
      <c r="E28" s="7">
        <f>SUM(E4:E27)</f>
        <v/>
      </c>
      <c r="F28" s="29">
        <f>AVERAGE(F4:F27)</f>
        <v/>
      </c>
      <c r="G28" s="30">
        <f>COUNTIF(G4:G27,"Yes")</f>
        <v/>
      </c>
      <c r="H28" s="7">
        <f>SUM(H4:H27)</f>
        <v/>
      </c>
      <c r="I28" s="25">
        <f>IF(D28=0,0,H28/D28)</f>
        <v/>
      </c>
      <c r="J28" s="30" t="inlineStr"/>
      <c r="K28" s="7">
        <f>SUM(K4:K27)</f>
        <v/>
      </c>
      <c r="L28" s="25">
        <f>IF(D28=0,0,K28/D28)</f>
        <v/>
      </c>
      <c r="M28" s="30" t="inlineStr"/>
      <c r="N28" s="7">
        <f>SUM(N4:N27)</f>
        <v/>
      </c>
      <c r="O28" s="7">
        <f>SUM(O4:O27)</f>
        <v/>
      </c>
      <c r="P28" s="7">
        <f>SUM(P4:P27)</f>
        <v/>
      </c>
      <c r="Q28" s="7">
        <f>SUM(Q4:Q27)</f>
        <v/>
      </c>
      <c r="R28" s="7">
        <f>SUM(R4:R27)</f>
        <v/>
      </c>
      <c r="S28" s="7">
        <f>SUM(S4:S27)</f>
        <v/>
      </c>
      <c r="T28" s="7">
        <f>SUM(T4:T27)</f>
        <v/>
      </c>
      <c r="U28" s="7">
        <f>SUM(U4:U27)</f>
        <v/>
      </c>
      <c r="V28" s="7">
        <f>SUM(V4:V27)</f>
        <v/>
      </c>
      <c r="W28" s="7">
        <f>SUM(W4:W27)</f>
        <v/>
      </c>
      <c r="X28" s="7">
        <f>SUM(X4:X27)</f>
        <v/>
      </c>
      <c r="Y28" s="7">
        <f>SUM(Y4:Y27)</f>
        <v/>
      </c>
      <c r="Z28" s="7">
        <f>SUM(Z4:Z27)</f>
        <v/>
      </c>
      <c r="AA28" s="7">
        <f>SUM(AA4:AA27)</f>
        <v/>
      </c>
      <c r="AB28" s="30">
        <f>COUNTIF(AB4:AB27,"Yes")</f>
        <v/>
      </c>
      <c r="AC28" s="7">
        <f>SUM(AC4:AC27)</f>
        <v/>
      </c>
      <c r="AD28" s="30">
        <f>COUNTIF(AD4:AD27,"Yes")</f>
        <v/>
      </c>
      <c r="AE28" s="7">
        <f>SUM(AE4:AE27)</f>
        <v/>
      </c>
      <c r="AF28" s="30">
        <f>COUNTIF(AF4:AF27,"Yes")</f>
        <v/>
      </c>
      <c r="AG28" s="7">
        <f>SUM(AG4:AG27)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38" customWidth="1" min="3" max="3"/>
    <col width="18" customWidth="1" min="4" max="4"/>
    <col width="20" customWidth="1" min="5" max="5"/>
    <col width="16" customWidth="1" min="6" max="6"/>
    <col width="23" customWidth="1" min="7" max="7"/>
    <col width="21" customWidth="1" min="8" max="8"/>
    <col width="23" customWidth="1" min="9" max="9"/>
    <col width="27" customWidth="1" min="10" max="10"/>
    <col width="17" customWidth="1" min="11" max="11"/>
    <col width="19" customWidth="1" min="12" max="12"/>
    <col width="23" customWidth="1" min="13" max="13"/>
    <col width="17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28" customWidth="1" min="28" max="28"/>
    <col width="21" customWidth="1" min="29" max="29"/>
    <col width="22" customWidth="1" min="30" max="30"/>
    <col width="15" customWidth="1" min="31" max="31"/>
    <col width="29" customWidth="1" min="32" max="32"/>
    <col width="22" customWidth="1" min="33" max="33"/>
  </cols>
  <sheetData>
    <row r="1">
      <c r="A1" s="21" t="inlineStr">
        <is>
          <t>Division I - Membership and Payments Performance</t>
        </is>
      </c>
    </row>
    <row r="2"/>
    <row r="3">
      <c r="A3" s="14" t="inlineStr">
        <is>
          <t>Club Number</t>
        </is>
      </c>
      <c r="B3" s="14" t="inlineStr">
        <is>
          <t>Area</t>
        </is>
      </c>
      <c r="C3" s="14" t="inlineStr">
        <is>
          <t>Club Name</t>
        </is>
      </c>
      <c r="D3" s="14" t="inlineStr">
        <is>
          <t>Base Membership</t>
        </is>
      </c>
      <c r="E3" s="14" t="inlineStr">
        <is>
          <t>Active Membership</t>
        </is>
      </c>
      <c r="F3" s="14" t="inlineStr">
        <is>
          <t>DCP Goals Met</t>
        </is>
      </c>
      <c r="G3" s="14" t="inlineStr">
        <is>
          <t>Distinguished Status</t>
        </is>
      </c>
      <c r="H3" s="14" t="inlineStr">
        <is>
          <t>September Renewals</t>
        </is>
      </c>
      <c r="I3" s="14" t="inlineStr">
        <is>
          <t>September Renewals %</t>
        </is>
      </c>
      <c r="J3" s="14" t="inlineStr">
        <is>
          <t>September Renewal Status</t>
        </is>
      </c>
      <c r="K3" s="14" t="inlineStr">
        <is>
          <t>March Renewals</t>
        </is>
      </c>
      <c r="L3" s="14" t="inlineStr">
        <is>
          <t>March Renewals %</t>
        </is>
      </c>
      <c r="M3" s="14" t="inlineStr">
        <is>
          <t>March Renewal Status</t>
        </is>
      </c>
      <c r="N3" s="14" t="inlineStr">
        <is>
          <t>Total Payments</t>
        </is>
      </c>
      <c r="O3" s="14" t="inlineStr">
        <is>
          <t>Total New Members</t>
        </is>
      </c>
      <c r="P3" s="14" t="inlineStr">
        <is>
          <t>July</t>
        </is>
      </c>
      <c r="Q3" s="14" t="inlineStr">
        <is>
          <t>August</t>
        </is>
      </c>
      <c r="R3" s="14" t="inlineStr">
        <is>
          <t>September</t>
        </is>
      </c>
      <c r="S3" s="14" t="inlineStr">
        <is>
          <t>October</t>
        </is>
      </c>
      <c r="T3" s="14" t="inlineStr">
        <is>
          <t>November</t>
        </is>
      </c>
      <c r="U3" s="14" t="inlineStr">
        <is>
          <t>December</t>
        </is>
      </c>
      <c r="V3" s="14" t="inlineStr">
        <is>
          <t>January</t>
        </is>
      </c>
      <c r="W3" s="14" t="inlineStr">
        <is>
          <t>February</t>
        </is>
      </c>
      <c r="X3" s="14" t="inlineStr">
        <is>
          <t>March</t>
        </is>
      </c>
      <c r="Y3" s="14" t="inlineStr">
        <is>
          <t>April</t>
        </is>
      </c>
      <c r="Z3" s="14" t="inlineStr">
        <is>
          <t>May</t>
        </is>
      </c>
      <c r="AA3" s="14" t="inlineStr">
        <is>
          <t>June</t>
        </is>
      </c>
      <c r="AB3" s="14" t="inlineStr">
        <is>
          <t>Smedley Award Eligibility</t>
        </is>
      </c>
      <c r="AC3" s="14" t="inlineStr">
        <is>
          <t>Smedley Award Goal</t>
        </is>
      </c>
      <c r="AD3" s="14" t="inlineStr">
        <is>
          <t>Talk Up Eligibility</t>
        </is>
      </c>
      <c r="AE3" s="14" t="inlineStr">
        <is>
          <t>Talk Up Goal</t>
        </is>
      </c>
      <c r="AF3" s="14" t="inlineStr">
        <is>
          <t>Beat the Clock Eligibility</t>
        </is>
      </c>
      <c r="AG3" s="14" t="inlineStr">
        <is>
          <t>Beat the Clock Goal</t>
        </is>
      </c>
    </row>
    <row r="4">
      <c r="A4" s="12" t="n">
        <v>9688</v>
      </c>
      <c r="B4" s="12" t="inlineStr">
        <is>
          <t>01</t>
        </is>
      </c>
      <c r="C4" s="27" t="inlineStr">
        <is>
          <t>Infosys Toastmasters, Bangalore</t>
        </is>
      </c>
      <c r="D4" s="8">
        <f>ClubDetails!G172</f>
        <v/>
      </c>
      <c r="E4" s="8">
        <f>ClubDetails!H172</f>
        <v/>
      </c>
      <c r="F4" s="8">
        <f>ClubDetails!I172</f>
        <v/>
      </c>
      <c r="G4" s="12">
        <f>IF(F4&lt;5,"-",IF(E4&gt;19,"Yes",IF(E4&gt;D4+2,"Yes","-")))</f>
        <v/>
      </c>
      <c r="H4" s="8">
        <f>ClubDetails!K172</f>
        <v/>
      </c>
      <c r="I4" s="28">
        <f>IF(D4=0,0,H4/D4)</f>
        <v/>
      </c>
      <c r="J4" s="12">
        <f>IF(H4=0,"Renewals not here",IF(H4&lt;3,"Ineligible",IF(D4&lt;8,"Low","Active")))</f>
        <v/>
      </c>
      <c r="K4" s="8">
        <f>ClubDetails!L172</f>
        <v/>
      </c>
      <c r="L4" s="28">
        <f>IF(D4=0,0,K4/D4)</f>
        <v/>
      </c>
      <c r="M4" s="12">
        <f>IF(K4=0,"Renewals not here",IF(K4&lt;3,"Ineligible",IF(E4&lt;8,"Low","Active")))</f>
        <v/>
      </c>
      <c r="N4" s="8">
        <f>ClubDetails!M172</f>
        <v/>
      </c>
      <c r="O4" s="8">
        <f>ClubDetails!J172</f>
        <v/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12">
        <f>IF(SUM(Q4:R4)&gt;=5,"Yes","No")</f>
        <v/>
      </c>
      <c r="AC4" s="8">
        <f>IF(SUM(Q4:R4)&gt;=5,0,5-SUM(Q4:R4))</f>
        <v/>
      </c>
      <c r="AD4" s="12">
        <f>IF(SUM(W4:X4)&gt;=5,"Yes","No")</f>
        <v/>
      </c>
      <c r="AE4" s="8">
        <f>IF(SUM(W4:X4)&gt;=5,0,5-SUM(W4:X4))</f>
        <v/>
      </c>
      <c r="AF4" s="12">
        <f>IF(SUM(Z4:AA4)&gt;=5,"Yes","No")</f>
        <v/>
      </c>
      <c r="AG4" s="8">
        <f>IF(SUM(Z4:AA4)&gt;=5,0,5-SUM(Z4:AA4))</f>
        <v/>
      </c>
    </row>
    <row r="5">
      <c r="A5" s="12" t="n">
        <v>2104976</v>
      </c>
      <c r="B5" s="12" t="inlineStr">
        <is>
          <t>01</t>
        </is>
      </c>
      <c r="C5" s="27" t="inlineStr">
        <is>
          <t>SIBM Bengaluru Toastmasters Club</t>
        </is>
      </c>
      <c r="D5" s="8">
        <f>ClubDetails!G173</f>
        <v/>
      </c>
      <c r="E5" s="8">
        <f>ClubDetails!H173</f>
        <v/>
      </c>
      <c r="F5" s="8">
        <f>ClubDetails!I173</f>
        <v/>
      </c>
      <c r="G5" s="12">
        <f>IF(F5&lt;5,"-",IF(E5&gt;19,"Yes",IF(E5&gt;D5+2,"Yes","-")))</f>
        <v/>
      </c>
      <c r="H5" s="8">
        <f>ClubDetails!K173</f>
        <v/>
      </c>
      <c r="I5" s="28">
        <f>IF(D5=0,0,H5/D5)</f>
        <v/>
      </c>
      <c r="J5" s="12">
        <f>IF(H5=0,"Renewals not here",IF(H5&lt;3,"Ineligible",IF(D5&lt;8,"Low","Active")))</f>
        <v/>
      </c>
      <c r="K5" s="8">
        <f>ClubDetails!L173</f>
        <v/>
      </c>
      <c r="L5" s="28">
        <f>IF(D5=0,0,K5/D5)</f>
        <v/>
      </c>
      <c r="M5" s="12">
        <f>IF(K5=0,"Renewals not here",IF(K5&lt;3,"Ineligible",IF(E5&lt;8,"Low","Active")))</f>
        <v/>
      </c>
      <c r="N5" s="8">
        <f>ClubDetails!M173</f>
        <v/>
      </c>
      <c r="O5" s="8">
        <f>ClubDetails!J173</f>
        <v/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12">
        <f>IF(SUM(Q5:R5)&gt;=5,"Yes","No")</f>
        <v/>
      </c>
      <c r="AC5" s="8">
        <f>IF(SUM(Q5:R5)&gt;=5,0,5-SUM(Q5:R5))</f>
        <v/>
      </c>
      <c r="AD5" s="12">
        <f>IF(SUM(W5:X5)&gt;=5,"Yes","No")</f>
        <v/>
      </c>
      <c r="AE5" s="8">
        <f>IF(SUM(W5:X5)&gt;=5,0,5-SUM(W5:X5))</f>
        <v/>
      </c>
      <c r="AF5" s="12">
        <f>IF(SUM(Z5:AA5)&gt;=5,"Yes","No")</f>
        <v/>
      </c>
      <c r="AG5" s="8">
        <f>IF(SUM(Z5:AA5)&gt;=5,0,5-SUM(Z5:AA5))</f>
        <v/>
      </c>
    </row>
    <row r="6">
      <c r="A6" s="12" t="n">
        <v>7641558</v>
      </c>
      <c r="B6" s="12" t="inlineStr">
        <is>
          <t>01</t>
        </is>
      </c>
      <c r="C6" s="27" t="inlineStr">
        <is>
          <t>Toast and Tales Toastmasters Club</t>
        </is>
      </c>
      <c r="D6" s="8">
        <f>ClubDetails!G174</f>
        <v/>
      </c>
      <c r="E6" s="8">
        <f>ClubDetails!H174</f>
        <v/>
      </c>
      <c r="F6" s="8">
        <f>ClubDetails!I174</f>
        <v/>
      </c>
      <c r="G6" s="12">
        <f>IF(F6&lt;5,"-",IF(E6&gt;19,"Yes",IF(E6&gt;D6+2,"Yes","-")))</f>
        <v/>
      </c>
      <c r="H6" s="8">
        <f>ClubDetails!K174</f>
        <v/>
      </c>
      <c r="I6" s="28">
        <f>IF(D6=0,0,H6/D6)</f>
        <v/>
      </c>
      <c r="J6" s="12">
        <f>IF(H6=0,"Renewals not here",IF(H6&lt;3,"Ineligible",IF(D6&lt;8,"Low","Active")))</f>
        <v/>
      </c>
      <c r="K6" s="8">
        <f>ClubDetails!L174</f>
        <v/>
      </c>
      <c r="L6" s="28">
        <f>IF(D6=0,0,K6/D6)</f>
        <v/>
      </c>
      <c r="M6" s="12">
        <f>IF(K6=0,"Renewals not here",IF(K6&lt;3,"Ineligible",IF(E6&lt;8,"Low","Active")))</f>
        <v/>
      </c>
      <c r="N6" s="8">
        <f>ClubDetails!M174</f>
        <v/>
      </c>
      <c r="O6" s="8">
        <f>ClubDetails!J174</f>
        <v/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12">
        <f>IF(SUM(Q6:R6)&gt;=5,"Yes","No")</f>
        <v/>
      </c>
      <c r="AC6" s="8">
        <f>IF(SUM(Q6:R6)&gt;=5,0,5-SUM(Q6:R6))</f>
        <v/>
      </c>
      <c r="AD6" s="12">
        <f>IF(SUM(W6:X6)&gt;=5,"Yes","No")</f>
        <v/>
      </c>
      <c r="AE6" s="8">
        <f>IF(SUM(W6:X6)&gt;=5,0,5-SUM(W6:X6))</f>
        <v/>
      </c>
      <c r="AF6" s="12">
        <f>IF(SUM(Z6:AA6)&gt;=5,"Yes","No")</f>
        <v/>
      </c>
      <c r="AG6" s="8">
        <f>IF(SUM(Z6:AA6)&gt;=5,0,5-SUM(Z6:AA6))</f>
        <v/>
      </c>
    </row>
    <row r="7">
      <c r="A7" s="12" t="n">
        <v>28677529</v>
      </c>
      <c r="B7" s="12" t="inlineStr">
        <is>
          <t>01</t>
        </is>
      </c>
      <c r="C7" s="27" t="inlineStr">
        <is>
          <t>HPE Element Toastmasters</t>
        </is>
      </c>
      <c r="D7" s="8">
        <f>ClubDetails!G175</f>
        <v/>
      </c>
      <c r="E7" s="8">
        <f>ClubDetails!H175</f>
        <v/>
      </c>
      <c r="F7" s="8">
        <f>ClubDetails!I175</f>
        <v/>
      </c>
      <c r="G7" s="12">
        <f>IF(F7&lt;5,"-",IF(E7&gt;19,"Yes",IF(E7&gt;D7+2,"Yes","-")))</f>
        <v/>
      </c>
      <c r="H7" s="8">
        <f>ClubDetails!K175</f>
        <v/>
      </c>
      <c r="I7" s="28">
        <f>IF(D7=0,0,H7/D7)</f>
        <v/>
      </c>
      <c r="J7" s="12">
        <f>IF(H7=0,"Renewals not here",IF(H7&lt;3,"Ineligible",IF(D7&lt;8,"Low","Active")))</f>
        <v/>
      </c>
      <c r="K7" s="8">
        <f>ClubDetails!L175</f>
        <v/>
      </c>
      <c r="L7" s="28">
        <f>IF(D7=0,0,K7/D7)</f>
        <v/>
      </c>
      <c r="M7" s="12">
        <f>IF(K7=0,"Renewals not here",IF(K7&lt;3,"Ineligible",IF(E7&lt;8,"Low","Active")))</f>
        <v/>
      </c>
      <c r="N7" s="8">
        <f>ClubDetails!M175</f>
        <v/>
      </c>
      <c r="O7" s="8">
        <f>ClubDetails!J175</f>
        <v/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12">
        <f>IF(SUM(Q7:R7)&gt;=5,"Yes","No")</f>
        <v/>
      </c>
      <c r="AC7" s="8">
        <f>IF(SUM(Q7:R7)&gt;=5,0,5-SUM(Q7:R7))</f>
        <v/>
      </c>
      <c r="AD7" s="12">
        <f>IF(SUM(W7:X7)&gt;=5,"Yes","No")</f>
        <v/>
      </c>
      <c r="AE7" s="8">
        <f>IF(SUM(W7:X7)&gt;=5,0,5-SUM(W7:X7))</f>
        <v/>
      </c>
      <c r="AF7" s="12">
        <f>IF(SUM(Z7:AA7)&gt;=5,"Yes","No")</f>
        <v/>
      </c>
      <c r="AG7" s="8">
        <f>IF(SUM(Z7:AA7)&gt;=5,0,5-SUM(Z7:AA7))</f>
        <v/>
      </c>
    </row>
    <row r="8">
      <c r="A8" s="12" t="n">
        <v>28679397</v>
      </c>
      <c r="B8" s="12" t="inlineStr">
        <is>
          <t>01</t>
        </is>
      </c>
      <c r="C8" s="27" t="inlineStr">
        <is>
          <t>TechM Bengaluru Toastmasters Club</t>
        </is>
      </c>
      <c r="D8" s="8">
        <f>ClubDetails!G176</f>
        <v/>
      </c>
      <c r="E8" s="8">
        <f>ClubDetails!H176</f>
        <v/>
      </c>
      <c r="F8" s="8">
        <f>ClubDetails!I176</f>
        <v/>
      </c>
      <c r="G8" s="12">
        <f>IF(F8&lt;5,"-",IF(E8&gt;19,"Yes",IF(E8&gt;D8+2,"Yes","-")))</f>
        <v/>
      </c>
      <c r="H8" s="8">
        <f>ClubDetails!K176</f>
        <v/>
      </c>
      <c r="I8" s="28">
        <f>IF(D8=0,0,H8/D8)</f>
        <v/>
      </c>
      <c r="J8" s="12">
        <f>IF(H8=0,"Renewals not here",IF(H8&lt;3,"Ineligible",IF(D8&lt;8,"Low","Active")))</f>
        <v/>
      </c>
      <c r="K8" s="8">
        <f>ClubDetails!L176</f>
        <v/>
      </c>
      <c r="L8" s="28">
        <f>IF(D8=0,0,K8/D8)</f>
        <v/>
      </c>
      <c r="M8" s="12">
        <f>IF(K8=0,"Renewals not here",IF(K8&lt;3,"Ineligible",IF(E8&lt;8,"Low","Active")))</f>
        <v/>
      </c>
      <c r="N8" s="8">
        <f>ClubDetails!M176</f>
        <v/>
      </c>
      <c r="O8" s="8">
        <f>ClubDetails!J176</f>
        <v/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12">
        <f>IF(SUM(Q8:R8)&gt;=5,"Yes","No")</f>
        <v/>
      </c>
      <c r="AC8" s="8">
        <f>IF(SUM(Q8:R8)&gt;=5,0,5-SUM(Q8:R8))</f>
        <v/>
      </c>
      <c r="AD8" s="12">
        <f>IF(SUM(W8:X8)&gt;=5,"Yes","No")</f>
        <v/>
      </c>
      <c r="AE8" s="8">
        <f>IF(SUM(W8:X8)&gt;=5,0,5-SUM(W8:X8))</f>
        <v/>
      </c>
      <c r="AF8" s="12">
        <f>IF(SUM(Z8:AA8)&gt;=5,"Yes","No")</f>
        <v/>
      </c>
      <c r="AG8" s="8">
        <f>IF(SUM(Z8:AA8)&gt;=5,0,5-SUM(Z8:AA8))</f>
        <v/>
      </c>
    </row>
    <row r="9">
      <c r="A9" s="12" t="n">
        <v>3674956</v>
      </c>
      <c r="B9" s="12" t="inlineStr">
        <is>
          <t>02</t>
        </is>
      </c>
      <c r="C9" s="27" t="inlineStr">
        <is>
          <t>CGI Elite Speakers Forum</t>
        </is>
      </c>
      <c r="D9" s="8">
        <f>ClubDetails!G177</f>
        <v/>
      </c>
      <c r="E9" s="8">
        <f>ClubDetails!H177</f>
        <v/>
      </c>
      <c r="F9" s="8">
        <f>ClubDetails!I177</f>
        <v/>
      </c>
      <c r="G9" s="12">
        <f>IF(F9&lt;5,"-",IF(E9&gt;19,"Yes",IF(E9&gt;D9+2,"Yes","-")))</f>
        <v/>
      </c>
      <c r="H9" s="8">
        <f>ClubDetails!K177</f>
        <v/>
      </c>
      <c r="I9" s="28">
        <f>IF(D9=0,0,H9/D9)</f>
        <v/>
      </c>
      <c r="J9" s="12">
        <f>IF(H9=0,"Renewals not here",IF(H9&lt;3,"Ineligible",IF(D9&lt;8,"Low","Active")))</f>
        <v/>
      </c>
      <c r="K9" s="8">
        <f>ClubDetails!L177</f>
        <v/>
      </c>
      <c r="L9" s="28">
        <f>IF(D9=0,0,K9/D9)</f>
        <v/>
      </c>
      <c r="M9" s="12">
        <f>IF(K9=0,"Renewals not here",IF(K9&lt;3,"Ineligible",IF(E9&lt;8,"Low","Active")))</f>
        <v/>
      </c>
      <c r="N9" s="8">
        <f>ClubDetails!M177</f>
        <v/>
      </c>
      <c r="O9" s="8">
        <f>ClubDetails!J177</f>
        <v/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12">
        <f>IF(SUM(Q9:R9)&gt;=5,"Yes","No")</f>
        <v/>
      </c>
      <c r="AC9" s="8">
        <f>IF(SUM(Q9:R9)&gt;=5,0,5-SUM(Q9:R9))</f>
        <v/>
      </c>
      <c r="AD9" s="12">
        <f>IF(SUM(W9:X9)&gt;=5,"Yes","No")</f>
        <v/>
      </c>
      <c r="AE9" s="8">
        <f>IF(SUM(W9:X9)&gt;=5,0,5-SUM(W9:X9))</f>
        <v/>
      </c>
      <c r="AF9" s="12">
        <f>IF(SUM(Z9:AA9)&gt;=5,"Yes","No")</f>
        <v/>
      </c>
      <c r="AG9" s="8">
        <f>IF(SUM(Z9:AA9)&gt;=5,0,5-SUM(Z9:AA9))</f>
        <v/>
      </c>
    </row>
    <row r="10">
      <c r="A10" s="12" t="n">
        <v>4304110</v>
      </c>
      <c r="B10" s="12" t="inlineStr">
        <is>
          <t>02</t>
        </is>
      </c>
      <c r="C10" s="27" t="inlineStr">
        <is>
          <t>Siemens Bangalore Toastmasters Club</t>
        </is>
      </c>
      <c r="D10" s="8">
        <f>ClubDetails!G178</f>
        <v/>
      </c>
      <c r="E10" s="8">
        <f>ClubDetails!H178</f>
        <v/>
      </c>
      <c r="F10" s="8">
        <f>ClubDetails!I178</f>
        <v/>
      </c>
      <c r="G10" s="12">
        <f>IF(F10&lt;5,"-",IF(E10&gt;19,"Yes",IF(E10&gt;D10+2,"Yes","-")))</f>
        <v/>
      </c>
      <c r="H10" s="8">
        <f>ClubDetails!K178</f>
        <v/>
      </c>
      <c r="I10" s="28">
        <f>IF(D10=0,0,H10/D10)</f>
        <v/>
      </c>
      <c r="J10" s="12">
        <f>IF(H10=0,"Renewals not here",IF(H10&lt;3,"Ineligible",IF(D10&lt;8,"Low","Active")))</f>
        <v/>
      </c>
      <c r="K10" s="8">
        <f>ClubDetails!L178</f>
        <v/>
      </c>
      <c r="L10" s="28">
        <f>IF(D10=0,0,K10/D10)</f>
        <v/>
      </c>
      <c r="M10" s="12">
        <f>IF(K10=0,"Renewals not here",IF(K10&lt;3,"Ineligible",IF(E10&lt;8,"Low","Active")))</f>
        <v/>
      </c>
      <c r="N10" s="8">
        <f>ClubDetails!M178</f>
        <v/>
      </c>
      <c r="O10" s="8">
        <f>ClubDetails!J178</f>
        <v/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12">
        <f>IF(SUM(Q10:R10)&gt;=5,"Yes","No")</f>
        <v/>
      </c>
      <c r="AC10" s="8">
        <f>IF(SUM(Q10:R10)&gt;=5,0,5-SUM(Q10:R10))</f>
        <v/>
      </c>
      <c r="AD10" s="12">
        <f>IF(SUM(W10:X10)&gt;=5,"Yes","No")</f>
        <v/>
      </c>
      <c r="AE10" s="8">
        <f>IF(SUM(W10:X10)&gt;=5,0,5-SUM(W10:X10))</f>
        <v/>
      </c>
      <c r="AF10" s="12">
        <f>IF(SUM(Z10:AA10)&gt;=5,"Yes","No")</f>
        <v/>
      </c>
      <c r="AG10" s="8">
        <f>IF(SUM(Z10:AA10)&gt;=5,0,5-SUM(Z10:AA10))</f>
        <v/>
      </c>
    </row>
    <row r="11">
      <c r="A11" s="12" t="n">
        <v>5185978</v>
      </c>
      <c r="B11" s="12" t="inlineStr">
        <is>
          <t>02</t>
        </is>
      </c>
      <c r="C11" s="27" t="inlineStr">
        <is>
          <t>Electronics City Toastmasters Club</t>
        </is>
      </c>
      <c r="D11" s="8">
        <f>ClubDetails!G179</f>
        <v/>
      </c>
      <c r="E11" s="8">
        <f>ClubDetails!H179</f>
        <v/>
      </c>
      <c r="F11" s="8">
        <f>ClubDetails!I179</f>
        <v/>
      </c>
      <c r="G11" s="12">
        <f>IF(F11&lt;5,"-",IF(E11&gt;19,"Yes",IF(E11&gt;D11+2,"Yes","-")))</f>
        <v/>
      </c>
      <c r="H11" s="8">
        <f>ClubDetails!K179</f>
        <v/>
      </c>
      <c r="I11" s="28">
        <f>IF(D11=0,0,H11/D11)</f>
        <v/>
      </c>
      <c r="J11" s="12">
        <f>IF(H11=0,"Renewals not here",IF(H11&lt;3,"Ineligible",IF(D11&lt;8,"Low","Active")))</f>
        <v/>
      </c>
      <c r="K11" s="8">
        <f>ClubDetails!L179</f>
        <v/>
      </c>
      <c r="L11" s="28">
        <f>IF(D11=0,0,K11/D11)</f>
        <v/>
      </c>
      <c r="M11" s="12">
        <f>IF(K11=0,"Renewals not here",IF(K11&lt;3,"Ineligible",IF(E11&lt;8,"Low","Active")))</f>
        <v/>
      </c>
      <c r="N11" s="8">
        <f>ClubDetails!M179</f>
        <v/>
      </c>
      <c r="O11" s="8">
        <f>ClubDetails!J179</f>
        <v/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12">
        <f>IF(SUM(Q11:R11)&gt;=5,"Yes","No")</f>
        <v/>
      </c>
      <c r="AC11" s="8">
        <f>IF(SUM(Q11:R11)&gt;=5,0,5-SUM(Q11:R11))</f>
        <v/>
      </c>
      <c r="AD11" s="12">
        <f>IF(SUM(W11:X11)&gt;=5,"Yes","No")</f>
        <v/>
      </c>
      <c r="AE11" s="8">
        <f>IF(SUM(W11:X11)&gt;=5,0,5-SUM(W11:X11))</f>
        <v/>
      </c>
      <c r="AF11" s="12">
        <f>IF(SUM(Z11:AA11)&gt;=5,"Yes","No")</f>
        <v/>
      </c>
      <c r="AG11" s="8">
        <f>IF(SUM(Z11:AA11)&gt;=5,0,5-SUM(Z11:AA11))</f>
        <v/>
      </c>
    </row>
    <row r="12">
      <c r="A12" s="12" t="n">
        <v>6920786</v>
      </c>
      <c r="B12" s="12" t="inlineStr">
        <is>
          <t>02</t>
        </is>
      </c>
      <c r="C12" s="27" t="inlineStr">
        <is>
          <t>Merck Toastmasters Club</t>
        </is>
      </c>
      <c r="D12" s="8">
        <f>ClubDetails!G180</f>
        <v/>
      </c>
      <c r="E12" s="8">
        <f>ClubDetails!H180</f>
        <v/>
      </c>
      <c r="F12" s="8">
        <f>ClubDetails!I180</f>
        <v/>
      </c>
      <c r="G12" s="12">
        <f>IF(F12&lt;5,"-",IF(E12&gt;19,"Yes",IF(E12&gt;D12+2,"Yes","-")))</f>
        <v/>
      </c>
      <c r="H12" s="8">
        <f>ClubDetails!K180</f>
        <v/>
      </c>
      <c r="I12" s="28">
        <f>IF(D12=0,0,H12/D12)</f>
        <v/>
      </c>
      <c r="J12" s="12">
        <f>IF(H12=0,"Renewals not here",IF(H12&lt;3,"Ineligible",IF(D12&lt;8,"Low","Active")))</f>
        <v/>
      </c>
      <c r="K12" s="8">
        <f>ClubDetails!L180</f>
        <v/>
      </c>
      <c r="L12" s="28">
        <f>IF(D12=0,0,K12/D12)</f>
        <v/>
      </c>
      <c r="M12" s="12">
        <f>IF(K12=0,"Renewals not here",IF(K12&lt;3,"Ineligible",IF(E12&lt;8,"Low","Active")))</f>
        <v/>
      </c>
      <c r="N12" s="8">
        <f>ClubDetails!M180</f>
        <v/>
      </c>
      <c r="O12" s="8">
        <f>ClubDetails!J180</f>
        <v/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12">
        <f>IF(SUM(Q12:R12)&gt;=5,"Yes","No")</f>
        <v/>
      </c>
      <c r="AC12" s="8">
        <f>IF(SUM(Q12:R12)&gt;=5,0,5-SUM(Q12:R12))</f>
        <v/>
      </c>
      <c r="AD12" s="12">
        <f>IF(SUM(W12:X12)&gt;=5,"Yes","No")</f>
        <v/>
      </c>
      <c r="AE12" s="8">
        <f>IF(SUM(W12:X12)&gt;=5,0,5-SUM(W12:X12))</f>
        <v/>
      </c>
      <c r="AF12" s="12">
        <f>IF(SUM(Z12:AA12)&gt;=5,"Yes","No")</f>
        <v/>
      </c>
      <c r="AG12" s="8">
        <f>IF(SUM(Z12:AA12)&gt;=5,0,5-SUM(Z12:AA12))</f>
        <v/>
      </c>
    </row>
    <row r="13">
      <c r="A13" s="12" t="n">
        <v>28678701</v>
      </c>
      <c r="B13" s="12" t="inlineStr">
        <is>
          <t>02</t>
        </is>
      </c>
      <c r="C13" s="27" t="inlineStr">
        <is>
          <t>Tavant Speakers Club</t>
        </is>
      </c>
      <c r="D13" s="8">
        <f>ClubDetails!G181</f>
        <v/>
      </c>
      <c r="E13" s="8">
        <f>ClubDetails!H181</f>
        <v/>
      </c>
      <c r="F13" s="8">
        <f>ClubDetails!I181</f>
        <v/>
      </c>
      <c r="G13" s="12">
        <f>IF(F13&lt;5,"-",IF(E13&gt;19,"Yes",IF(E13&gt;D13+2,"Yes","-")))</f>
        <v/>
      </c>
      <c r="H13" s="8">
        <f>ClubDetails!K181</f>
        <v/>
      </c>
      <c r="I13" s="28">
        <f>IF(D13=0,0,H13/D13)</f>
        <v/>
      </c>
      <c r="J13" s="12">
        <f>IF(H13=0,"Renewals not here",IF(H13&lt;3,"Ineligible",IF(D13&lt;8,"Low","Active")))</f>
        <v/>
      </c>
      <c r="K13" s="8">
        <f>ClubDetails!L181</f>
        <v/>
      </c>
      <c r="L13" s="28">
        <f>IF(D13=0,0,K13/D13)</f>
        <v/>
      </c>
      <c r="M13" s="12">
        <f>IF(K13=0,"Renewals not here",IF(K13&lt;3,"Ineligible",IF(E13&lt;8,"Low","Active")))</f>
        <v/>
      </c>
      <c r="N13" s="8">
        <f>ClubDetails!M181</f>
        <v/>
      </c>
      <c r="O13" s="8">
        <f>ClubDetails!J181</f>
        <v/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12">
        <f>IF(SUM(Q13:R13)&gt;=5,"Yes","No")</f>
        <v/>
      </c>
      <c r="AC13" s="8">
        <f>IF(SUM(Q13:R13)&gt;=5,0,5-SUM(Q13:R13))</f>
        <v/>
      </c>
      <c r="AD13" s="12">
        <f>IF(SUM(W13:X13)&gt;=5,"Yes","No")</f>
        <v/>
      </c>
      <c r="AE13" s="8">
        <f>IF(SUM(W13:X13)&gt;=5,0,5-SUM(W13:X13))</f>
        <v/>
      </c>
      <c r="AF13" s="12">
        <f>IF(SUM(Z13:AA13)&gt;=5,"Yes","No")</f>
        <v/>
      </c>
      <c r="AG13" s="8">
        <f>IF(SUM(Z13:AA13)&gt;=5,0,5-SUM(Z13:AA13))</f>
        <v/>
      </c>
    </row>
    <row r="14">
      <c r="A14" s="12" t="n">
        <v>28679581</v>
      </c>
      <c r="B14" s="12" t="inlineStr">
        <is>
          <t>02</t>
        </is>
      </c>
      <c r="C14" s="27" t="inlineStr">
        <is>
          <t>Movius Toastmasters Club</t>
        </is>
      </c>
      <c r="D14" s="8">
        <f>ClubDetails!G182</f>
        <v/>
      </c>
      <c r="E14" s="8">
        <f>ClubDetails!H182</f>
        <v/>
      </c>
      <c r="F14" s="8">
        <f>ClubDetails!I182</f>
        <v/>
      </c>
      <c r="G14" s="12">
        <f>IF(F14&lt;5,"-",IF(E14&gt;19,"Yes",IF(E14&gt;D14+2,"Yes","-")))</f>
        <v/>
      </c>
      <c r="H14" s="8">
        <f>ClubDetails!K182</f>
        <v/>
      </c>
      <c r="I14" s="28">
        <f>IF(D14=0,0,H14/D14)</f>
        <v/>
      </c>
      <c r="J14" s="12">
        <f>IF(H14=0,"Renewals not here",IF(H14&lt;3,"Ineligible",IF(D14&lt;8,"Low","Active")))</f>
        <v/>
      </c>
      <c r="K14" s="8">
        <f>ClubDetails!L182</f>
        <v/>
      </c>
      <c r="L14" s="28">
        <f>IF(D14=0,0,K14/D14)</f>
        <v/>
      </c>
      <c r="M14" s="12">
        <f>IF(K14=0,"Renewals not here",IF(K14&lt;3,"Ineligible",IF(E14&lt;8,"Low","Active")))</f>
        <v/>
      </c>
      <c r="N14" s="8">
        <f>ClubDetails!M182</f>
        <v/>
      </c>
      <c r="O14" s="8">
        <f>ClubDetails!J182</f>
        <v/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12">
        <f>IF(SUM(Q14:R14)&gt;=5,"Yes","No")</f>
        <v/>
      </c>
      <c r="AC14" s="8">
        <f>IF(SUM(Q14:R14)&gt;=5,0,5-SUM(Q14:R14))</f>
        <v/>
      </c>
      <c r="AD14" s="12">
        <f>IF(SUM(W14:X14)&gt;=5,"Yes","No")</f>
        <v/>
      </c>
      <c r="AE14" s="8">
        <f>IF(SUM(W14:X14)&gt;=5,0,5-SUM(W14:X14))</f>
        <v/>
      </c>
      <c r="AF14" s="12">
        <f>IF(SUM(Z14:AA14)&gt;=5,"Yes","No")</f>
        <v/>
      </c>
      <c r="AG14" s="8">
        <f>IF(SUM(Z14:AA14)&gt;=5,0,5-SUM(Z14:AA14))</f>
        <v/>
      </c>
    </row>
    <row r="15">
      <c r="A15" s="12" t="n">
        <v>4958536</v>
      </c>
      <c r="B15" s="12" t="inlineStr">
        <is>
          <t>03</t>
        </is>
      </c>
      <c r="C15" s="27" t="inlineStr">
        <is>
          <t>DB Bangalore Toastmasters Club</t>
        </is>
      </c>
      <c r="D15" s="8">
        <f>ClubDetails!G183</f>
        <v/>
      </c>
      <c r="E15" s="8">
        <f>ClubDetails!H183</f>
        <v/>
      </c>
      <c r="F15" s="8">
        <f>ClubDetails!I183</f>
        <v/>
      </c>
      <c r="G15" s="12">
        <f>IF(F15&lt;5,"-",IF(E15&gt;19,"Yes",IF(E15&gt;D15+2,"Yes","-")))</f>
        <v/>
      </c>
      <c r="H15" s="8">
        <f>ClubDetails!K183</f>
        <v/>
      </c>
      <c r="I15" s="28">
        <f>IF(D15=0,0,H15/D15)</f>
        <v/>
      </c>
      <c r="J15" s="12">
        <f>IF(H15=0,"Renewals not here",IF(H15&lt;3,"Ineligible",IF(D15&lt;8,"Low","Active")))</f>
        <v/>
      </c>
      <c r="K15" s="8">
        <f>ClubDetails!L183</f>
        <v/>
      </c>
      <c r="L15" s="28">
        <f>IF(D15=0,0,K15/D15)</f>
        <v/>
      </c>
      <c r="M15" s="12">
        <f>IF(K15=0,"Renewals not here",IF(K15&lt;3,"Ineligible",IF(E15&lt;8,"Low","Active")))</f>
        <v/>
      </c>
      <c r="N15" s="8">
        <f>ClubDetails!M183</f>
        <v/>
      </c>
      <c r="O15" s="8">
        <f>ClubDetails!J183</f>
        <v/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12">
        <f>IF(SUM(Q15:R15)&gt;=5,"Yes","No")</f>
        <v/>
      </c>
      <c r="AC15" s="8">
        <f>IF(SUM(Q15:R15)&gt;=5,0,5-SUM(Q15:R15))</f>
        <v/>
      </c>
      <c r="AD15" s="12">
        <f>IF(SUM(W15:X15)&gt;=5,"Yes","No")</f>
        <v/>
      </c>
      <c r="AE15" s="8">
        <f>IF(SUM(W15:X15)&gt;=5,0,5-SUM(W15:X15))</f>
        <v/>
      </c>
      <c r="AF15" s="12">
        <f>IF(SUM(Z15:AA15)&gt;=5,"Yes","No")</f>
        <v/>
      </c>
      <c r="AG15" s="8">
        <f>IF(SUM(Z15:AA15)&gt;=5,0,5-SUM(Z15:AA15))</f>
        <v/>
      </c>
    </row>
    <row r="16">
      <c r="A16" s="12" t="n">
        <v>5843852</v>
      </c>
      <c r="B16" s="12" t="inlineStr">
        <is>
          <t>03</t>
        </is>
      </c>
      <c r="C16" s="27" t="inlineStr">
        <is>
          <t>HSR Toastmasters Club</t>
        </is>
      </c>
      <c r="D16" s="8">
        <f>ClubDetails!G184</f>
        <v/>
      </c>
      <c r="E16" s="8">
        <f>ClubDetails!H184</f>
        <v/>
      </c>
      <c r="F16" s="8">
        <f>ClubDetails!I184</f>
        <v/>
      </c>
      <c r="G16" s="12">
        <f>IF(F16&lt;5,"-",IF(E16&gt;19,"Yes",IF(E16&gt;D16+2,"Yes","-")))</f>
        <v/>
      </c>
      <c r="H16" s="8">
        <f>ClubDetails!K184</f>
        <v/>
      </c>
      <c r="I16" s="28">
        <f>IF(D16=0,0,H16/D16)</f>
        <v/>
      </c>
      <c r="J16" s="12">
        <f>IF(H16=0,"Renewals not here",IF(H16&lt;3,"Ineligible",IF(D16&lt;8,"Low","Active")))</f>
        <v/>
      </c>
      <c r="K16" s="8">
        <f>ClubDetails!L184</f>
        <v/>
      </c>
      <c r="L16" s="28">
        <f>IF(D16=0,0,K16/D16)</f>
        <v/>
      </c>
      <c r="M16" s="12">
        <f>IF(K16=0,"Renewals not here",IF(K16&lt;3,"Ineligible",IF(E16&lt;8,"Low","Active")))</f>
        <v/>
      </c>
      <c r="N16" s="8">
        <f>ClubDetails!M184</f>
        <v/>
      </c>
      <c r="O16" s="8">
        <f>ClubDetails!J184</f>
        <v/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12">
        <f>IF(SUM(Q16:R16)&gt;=5,"Yes","No")</f>
        <v/>
      </c>
      <c r="AC16" s="8">
        <f>IF(SUM(Q16:R16)&gt;=5,0,5-SUM(Q16:R16))</f>
        <v/>
      </c>
      <c r="AD16" s="12">
        <f>IF(SUM(W16:X16)&gt;=5,"Yes","No")</f>
        <v/>
      </c>
      <c r="AE16" s="8">
        <f>IF(SUM(W16:X16)&gt;=5,0,5-SUM(W16:X16))</f>
        <v/>
      </c>
      <c r="AF16" s="12">
        <f>IF(SUM(Z16:AA16)&gt;=5,"Yes","No")</f>
        <v/>
      </c>
      <c r="AG16" s="8">
        <f>IF(SUM(Z16:AA16)&gt;=5,0,5-SUM(Z16:AA16))</f>
        <v/>
      </c>
    </row>
    <row r="17">
      <c r="A17" s="12" t="n">
        <v>28675609</v>
      </c>
      <c r="B17" s="12" t="inlineStr">
        <is>
          <t>03</t>
        </is>
      </c>
      <c r="C17" s="27" t="inlineStr">
        <is>
          <t>Greenage Toastmasters Club</t>
        </is>
      </c>
      <c r="D17" s="8">
        <f>ClubDetails!G185</f>
        <v/>
      </c>
      <c r="E17" s="8">
        <f>ClubDetails!H185</f>
        <v/>
      </c>
      <c r="F17" s="8">
        <f>ClubDetails!I185</f>
        <v/>
      </c>
      <c r="G17" s="12">
        <f>IF(F17&lt;5,"-",IF(E17&gt;19,"Yes",IF(E17&gt;D17+2,"Yes","-")))</f>
        <v/>
      </c>
      <c r="H17" s="8">
        <f>ClubDetails!K185</f>
        <v/>
      </c>
      <c r="I17" s="28">
        <f>IF(D17=0,0,H17/D17)</f>
        <v/>
      </c>
      <c r="J17" s="12">
        <f>IF(H17=0,"Renewals not here",IF(H17&lt;3,"Ineligible",IF(D17&lt;8,"Low","Active")))</f>
        <v/>
      </c>
      <c r="K17" s="8">
        <f>ClubDetails!L185</f>
        <v/>
      </c>
      <c r="L17" s="28">
        <f>IF(D17=0,0,K17/D17)</f>
        <v/>
      </c>
      <c r="M17" s="12">
        <f>IF(K17=0,"Renewals not here",IF(K17&lt;3,"Ineligible",IF(E17&lt;8,"Low","Active")))</f>
        <v/>
      </c>
      <c r="N17" s="8">
        <f>ClubDetails!M185</f>
        <v/>
      </c>
      <c r="O17" s="8">
        <f>ClubDetails!J185</f>
        <v/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12">
        <f>IF(SUM(Q17:R17)&gt;=5,"Yes","No")</f>
        <v/>
      </c>
      <c r="AC17" s="8">
        <f>IF(SUM(Q17:R17)&gt;=5,0,5-SUM(Q17:R17))</f>
        <v/>
      </c>
      <c r="AD17" s="12">
        <f>IF(SUM(W17:X17)&gt;=5,"Yes","No")</f>
        <v/>
      </c>
      <c r="AE17" s="8">
        <f>IF(SUM(W17:X17)&gt;=5,0,5-SUM(W17:X17))</f>
        <v/>
      </c>
      <c r="AF17" s="12">
        <f>IF(SUM(Z17:AA17)&gt;=5,"Yes","No")</f>
        <v/>
      </c>
      <c r="AG17" s="8">
        <f>IF(SUM(Z17:AA17)&gt;=5,0,5-SUM(Z17:AA17))</f>
        <v/>
      </c>
    </row>
    <row r="18">
      <c r="A18" s="12" t="n">
        <v>28677107</v>
      </c>
      <c r="B18" s="12" t="inlineStr">
        <is>
          <t>03</t>
        </is>
      </c>
      <c r="C18" s="27" t="inlineStr">
        <is>
          <t>Ascent Toastmasters Club</t>
        </is>
      </c>
      <c r="D18" s="8">
        <f>ClubDetails!G186</f>
        <v/>
      </c>
      <c r="E18" s="8">
        <f>ClubDetails!H186</f>
        <v/>
      </c>
      <c r="F18" s="8">
        <f>ClubDetails!I186</f>
        <v/>
      </c>
      <c r="G18" s="12">
        <f>IF(F18&lt;5,"-",IF(E18&gt;19,"Yes",IF(E18&gt;D18+2,"Yes","-")))</f>
        <v/>
      </c>
      <c r="H18" s="8">
        <f>ClubDetails!K186</f>
        <v/>
      </c>
      <c r="I18" s="28">
        <f>IF(D18=0,0,H18/D18)</f>
        <v/>
      </c>
      <c r="J18" s="12">
        <f>IF(H18=0,"Renewals not here",IF(H18&lt;3,"Ineligible",IF(D18&lt;8,"Low","Active")))</f>
        <v/>
      </c>
      <c r="K18" s="8">
        <f>ClubDetails!L186</f>
        <v/>
      </c>
      <c r="L18" s="28">
        <f>IF(D18=0,0,K18/D18)</f>
        <v/>
      </c>
      <c r="M18" s="12">
        <f>IF(K18=0,"Renewals not here",IF(K18&lt;3,"Ineligible",IF(E18&lt;8,"Low","Active")))</f>
        <v/>
      </c>
      <c r="N18" s="8">
        <f>ClubDetails!M186</f>
        <v/>
      </c>
      <c r="O18" s="8">
        <f>ClubDetails!J186</f>
        <v/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12">
        <f>IF(SUM(Q18:R18)&gt;=5,"Yes","No")</f>
        <v/>
      </c>
      <c r="AC18" s="8">
        <f>IF(SUM(Q18:R18)&gt;=5,0,5-SUM(Q18:R18))</f>
        <v/>
      </c>
      <c r="AD18" s="12">
        <f>IF(SUM(W18:X18)&gt;=5,"Yes","No")</f>
        <v/>
      </c>
      <c r="AE18" s="8">
        <f>IF(SUM(W18:X18)&gt;=5,0,5-SUM(W18:X18))</f>
        <v/>
      </c>
      <c r="AF18" s="12">
        <f>IF(SUM(Z18:AA18)&gt;=5,"Yes","No")</f>
        <v/>
      </c>
      <c r="AG18" s="8">
        <f>IF(SUM(Z18:AA18)&gt;=5,0,5-SUM(Z18:AA18))</f>
        <v/>
      </c>
    </row>
    <row r="19">
      <c r="A19" s="12" t="n">
        <v>3283460</v>
      </c>
      <c r="B19" s="12" t="inlineStr">
        <is>
          <t>04</t>
        </is>
      </c>
      <c r="C19" s="27" t="inlineStr">
        <is>
          <t>Wipro BEATS</t>
        </is>
      </c>
      <c r="D19" s="8">
        <f>ClubDetails!G187</f>
        <v/>
      </c>
      <c r="E19" s="8">
        <f>ClubDetails!H187</f>
        <v/>
      </c>
      <c r="F19" s="8">
        <f>ClubDetails!I187</f>
        <v/>
      </c>
      <c r="G19" s="12">
        <f>IF(F19&lt;5,"-",IF(E19&gt;19,"Yes",IF(E19&gt;D19+2,"Yes","-")))</f>
        <v/>
      </c>
      <c r="H19" s="8">
        <f>ClubDetails!K187</f>
        <v/>
      </c>
      <c r="I19" s="28">
        <f>IF(D19=0,0,H19/D19)</f>
        <v/>
      </c>
      <c r="J19" s="12">
        <f>IF(H19=0,"Renewals not here",IF(H19&lt;3,"Ineligible",IF(D19&lt;8,"Low","Active")))</f>
        <v/>
      </c>
      <c r="K19" s="8">
        <f>ClubDetails!L187</f>
        <v/>
      </c>
      <c r="L19" s="28">
        <f>IF(D19=0,0,K19/D19)</f>
        <v/>
      </c>
      <c r="M19" s="12">
        <f>IF(K19=0,"Renewals not here",IF(K19&lt;3,"Ineligible",IF(E19&lt;8,"Low","Active")))</f>
        <v/>
      </c>
      <c r="N19" s="8">
        <f>ClubDetails!M187</f>
        <v/>
      </c>
      <c r="O19" s="8">
        <f>ClubDetails!J187</f>
        <v/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12">
        <f>IF(SUM(Q19:R19)&gt;=5,"Yes","No")</f>
        <v/>
      </c>
      <c r="AC19" s="8">
        <f>IF(SUM(Q19:R19)&gt;=5,0,5-SUM(Q19:R19))</f>
        <v/>
      </c>
      <c r="AD19" s="12">
        <f>IF(SUM(W19:X19)&gt;=5,"Yes","No")</f>
        <v/>
      </c>
      <c r="AE19" s="8">
        <f>IF(SUM(W19:X19)&gt;=5,0,5-SUM(W19:X19))</f>
        <v/>
      </c>
      <c r="AF19" s="12">
        <f>IF(SUM(Z19:AA19)&gt;=5,"Yes","No")</f>
        <v/>
      </c>
      <c r="AG19" s="8">
        <f>IF(SUM(Z19:AA19)&gt;=5,0,5-SUM(Z19:AA19))</f>
        <v/>
      </c>
    </row>
    <row r="20">
      <c r="A20" s="12" t="n">
        <v>7586759</v>
      </c>
      <c r="B20" s="12" t="inlineStr">
        <is>
          <t>04</t>
        </is>
      </c>
      <c r="C20" s="27" t="inlineStr">
        <is>
          <t>MOOG Flyers</t>
        </is>
      </c>
      <c r="D20" s="8">
        <f>ClubDetails!G188</f>
        <v/>
      </c>
      <c r="E20" s="8">
        <f>ClubDetails!H188</f>
        <v/>
      </c>
      <c r="F20" s="8">
        <f>ClubDetails!I188</f>
        <v/>
      </c>
      <c r="G20" s="12">
        <f>IF(F20&lt;5,"-",IF(E20&gt;19,"Yes",IF(E20&gt;D20+2,"Yes","-")))</f>
        <v/>
      </c>
      <c r="H20" s="8">
        <f>ClubDetails!K188</f>
        <v/>
      </c>
      <c r="I20" s="28">
        <f>IF(D20=0,0,H20/D20)</f>
        <v/>
      </c>
      <c r="J20" s="12">
        <f>IF(H20=0,"Renewals not here",IF(H20&lt;3,"Ineligible",IF(D20&lt;8,"Low","Active")))</f>
        <v/>
      </c>
      <c r="K20" s="8">
        <f>ClubDetails!L188</f>
        <v/>
      </c>
      <c r="L20" s="28">
        <f>IF(D20=0,0,K20/D20)</f>
        <v/>
      </c>
      <c r="M20" s="12">
        <f>IF(K20=0,"Renewals not here",IF(K20&lt;3,"Ineligible",IF(E20&lt;8,"Low","Active")))</f>
        <v/>
      </c>
      <c r="N20" s="8">
        <f>ClubDetails!M188</f>
        <v/>
      </c>
      <c r="O20" s="8">
        <f>ClubDetails!J188</f>
        <v/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12">
        <f>IF(SUM(Q20:R20)&gt;=5,"Yes","No")</f>
        <v/>
      </c>
      <c r="AC20" s="8">
        <f>IF(SUM(Q20:R20)&gt;=5,0,5-SUM(Q20:R20))</f>
        <v/>
      </c>
      <c r="AD20" s="12">
        <f>IF(SUM(W20:X20)&gt;=5,"Yes","No")</f>
        <v/>
      </c>
      <c r="AE20" s="8">
        <f>IF(SUM(W20:X20)&gt;=5,0,5-SUM(W20:X20))</f>
        <v/>
      </c>
      <c r="AF20" s="12">
        <f>IF(SUM(Z20:AA20)&gt;=5,"Yes","No")</f>
        <v/>
      </c>
      <c r="AG20" s="8">
        <f>IF(SUM(Z20:AA20)&gt;=5,0,5-SUM(Z20:AA20))</f>
        <v/>
      </c>
    </row>
    <row r="21">
      <c r="A21" s="12" t="n">
        <v>28677664</v>
      </c>
      <c r="B21" s="12" t="inlineStr">
        <is>
          <t>04</t>
        </is>
      </c>
      <c r="C21" s="27" t="inlineStr">
        <is>
          <t>Tessolve Toastmasters Club</t>
        </is>
      </c>
      <c r="D21" s="8">
        <f>ClubDetails!G189</f>
        <v/>
      </c>
      <c r="E21" s="8">
        <f>ClubDetails!H189</f>
        <v/>
      </c>
      <c r="F21" s="8">
        <f>ClubDetails!I189</f>
        <v/>
      </c>
      <c r="G21" s="12">
        <f>IF(F21&lt;5,"-",IF(E21&gt;19,"Yes",IF(E21&gt;D21+2,"Yes","-")))</f>
        <v/>
      </c>
      <c r="H21" s="8">
        <f>ClubDetails!K189</f>
        <v/>
      </c>
      <c r="I21" s="28">
        <f>IF(D21=0,0,H21/D21)</f>
        <v/>
      </c>
      <c r="J21" s="12">
        <f>IF(H21=0,"Renewals not here",IF(H21&lt;3,"Ineligible",IF(D21&lt;8,"Low","Active")))</f>
        <v/>
      </c>
      <c r="K21" s="8">
        <f>ClubDetails!L189</f>
        <v/>
      </c>
      <c r="L21" s="28">
        <f>IF(D21=0,0,K21/D21)</f>
        <v/>
      </c>
      <c r="M21" s="12">
        <f>IF(K21=0,"Renewals not here",IF(K21&lt;3,"Ineligible",IF(E21&lt;8,"Low","Active")))</f>
        <v/>
      </c>
      <c r="N21" s="8">
        <f>ClubDetails!M189</f>
        <v/>
      </c>
      <c r="O21" s="8">
        <f>ClubDetails!J189</f>
        <v/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12">
        <f>IF(SUM(Q21:R21)&gt;=5,"Yes","No")</f>
        <v/>
      </c>
      <c r="AC21" s="8">
        <f>IF(SUM(Q21:R21)&gt;=5,0,5-SUM(Q21:R21))</f>
        <v/>
      </c>
      <c r="AD21" s="12">
        <f>IF(SUM(W21:X21)&gt;=5,"Yes","No")</f>
        <v/>
      </c>
      <c r="AE21" s="8">
        <f>IF(SUM(W21:X21)&gt;=5,0,5-SUM(W21:X21))</f>
        <v/>
      </c>
      <c r="AF21" s="12">
        <f>IF(SUM(Z21:AA21)&gt;=5,"Yes","No")</f>
        <v/>
      </c>
      <c r="AG21" s="8">
        <f>IF(SUM(Z21:AA21)&gt;=5,0,5-SUM(Z21:AA21))</f>
        <v/>
      </c>
    </row>
    <row r="22">
      <c r="A22" s="12" t="n">
        <v>28678026</v>
      </c>
      <c r="B22" s="12" t="inlineStr">
        <is>
          <t>04</t>
        </is>
      </c>
      <c r="C22" s="27" t="inlineStr">
        <is>
          <t>Brighthearts Toastmasters</t>
        </is>
      </c>
      <c r="D22" s="8">
        <f>ClubDetails!G190</f>
        <v/>
      </c>
      <c r="E22" s="8">
        <f>ClubDetails!H190</f>
        <v/>
      </c>
      <c r="F22" s="8">
        <f>ClubDetails!I190</f>
        <v/>
      </c>
      <c r="G22" s="12">
        <f>IF(F22&lt;5,"-",IF(E22&gt;19,"Yes",IF(E22&gt;D22+2,"Yes","-")))</f>
        <v/>
      </c>
      <c r="H22" s="8">
        <f>ClubDetails!K190</f>
        <v/>
      </c>
      <c r="I22" s="28">
        <f>IF(D22=0,0,H22/D22)</f>
        <v/>
      </c>
      <c r="J22" s="12">
        <f>IF(H22=0,"Renewals not here",IF(H22&lt;3,"Ineligible",IF(D22&lt;8,"Low","Active")))</f>
        <v/>
      </c>
      <c r="K22" s="8">
        <f>ClubDetails!L190</f>
        <v/>
      </c>
      <c r="L22" s="28">
        <f>IF(D22=0,0,K22/D22)</f>
        <v/>
      </c>
      <c r="M22" s="12">
        <f>IF(K22=0,"Renewals not here",IF(K22&lt;3,"Ineligible",IF(E22&lt;8,"Low","Active")))</f>
        <v/>
      </c>
      <c r="N22" s="8">
        <f>ClubDetails!M190</f>
        <v/>
      </c>
      <c r="O22" s="8">
        <f>ClubDetails!J190</f>
        <v/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12">
        <f>IF(SUM(Q22:R22)&gt;=5,"Yes","No")</f>
        <v/>
      </c>
      <c r="AC22" s="8">
        <f>IF(SUM(Q22:R22)&gt;=5,0,5-SUM(Q22:R22))</f>
        <v/>
      </c>
      <c r="AD22" s="12">
        <f>IF(SUM(W22:X22)&gt;=5,"Yes","No")</f>
        <v/>
      </c>
      <c r="AE22" s="8">
        <f>IF(SUM(W22:X22)&gt;=5,0,5-SUM(W22:X22))</f>
        <v/>
      </c>
      <c r="AF22" s="12">
        <f>IF(SUM(Z22:AA22)&gt;=5,"Yes","No")</f>
        <v/>
      </c>
      <c r="AG22" s="8">
        <f>IF(SUM(Z22:AA22)&gt;=5,0,5-SUM(Z22:AA22))</f>
        <v/>
      </c>
    </row>
    <row r="23">
      <c r="A23" s="24" t="inlineStr">
        <is>
          <t>Total / Average</t>
        </is>
      </c>
      <c r="B23" s="26" t="inlineStr"/>
      <c r="C23" s="26" t="inlineStr"/>
      <c r="D23" s="7">
        <f>SUM(D4:D22)</f>
        <v/>
      </c>
      <c r="E23" s="7">
        <f>SUM(E4:E22)</f>
        <v/>
      </c>
      <c r="F23" s="29">
        <f>AVERAGE(F4:F22)</f>
        <v/>
      </c>
      <c r="G23" s="30">
        <f>COUNTIF(G4:G22,"Yes")</f>
        <v/>
      </c>
      <c r="H23" s="7">
        <f>SUM(H4:H22)</f>
        <v/>
      </c>
      <c r="I23" s="25">
        <f>IF(D23=0,0,H23/D23)</f>
        <v/>
      </c>
      <c r="J23" s="30" t="inlineStr"/>
      <c r="K23" s="7">
        <f>SUM(K4:K22)</f>
        <v/>
      </c>
      <c r="L23" s="25">
        <f>IF(D23=0,0,K23/D23)</f>
        <v/>
      </c>
      <c r="M23" s="30" t="inlineStr"/>
      <c r="N23" s="7">
        <f>SUM(N4:N22)</f>
        <v/>
      </c>
      <c r="O23" s="7">
        <f>SUM(O4:O22)</f>
        <v/>
      </c>
      <c r="P23" s="7">
        <f>SUM(P4:P22)</f>
        <v/>
      </c>
      <c r="Q23" s="7">
        <f>SUM(Q4:Q22)</f>
        <v/>
      </c>
      <c r="R23" s="7">
        <f>SUM(R4:R22)</f>
        <v/>
      </c>
      <c r="S23" s="7">
        <f>SUM(S4:S22)</f>
        <v/>
      </c>
      <c r="T23" s="7">
        <f>SUM(T4:T22)</f>
        <v/>
      </c>
      <c r="U23" s="7">
        <f>SUM(U4:U22)</f>
        <v/>
      </c>
      <c r="V23" s="7">
        <f>SUM(V4:V22)</f>
        <v/>
      </c>
      <c r="W23" s="7">
        <f>SUM(W4:W22)</f>
        <v/>
      </c>
      <c r="X23" s="7">
        <f>SUM(X4:X22)</f>
        <v/>
      </c>
      <c r="Y23" s="7">
        <f>SUM(Y4:Y22)</f>
        <v/>
      </c>
      <c r="Z23" s="7">
        <f>SUM(Z4:Z22)</f>
        <v/>
      </c>
      <c r="AA23" s="7">
        <f>SUM(AA4:AA22)</f>
        <v/>
      </c>
      <c r="AB23" s="30">
        <f>COUNTIF(AB4:AB22,"Yes")</f>
        <v/>
      </c>
      <c r="AC23" s="7">
        <f>SUM(AC4:AC22)</f>
        <v/>
      </c>
      <c r="AD23" s="30">
        <f>COUNTIF(AD4:AD22,"Yes")</f>
        <v/>
      </c>
      <c r="AE23" s="7">
        <f>SUM(AE4:AE22)</f>
        <v/>
      </c>
      <c r="AF23" s="30">
        <f>COUNTIF(AF4:AF22,"Yes")</f>
        <v/>
      </c>
      <c r="AG23" s="7">
        <f>SUM(AG4:AG22)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2026-07-26T14:12:54Z</dcterms:created>
  <dcterms:modified xsi:type="dcterms:W3CDTF">2026-07-26T14:12:55Z</dcterms:modified>
</cp:coreProperties>
</file>