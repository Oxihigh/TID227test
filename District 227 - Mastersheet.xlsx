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lubDetails" sheetId="2" state="visible" r:id="rId2"/>
    <sheet name="Overall" sheetId="3" state="visible" r:id="rId3"/>
    <sheet name="Division 0D" sheetId="4" state="visible" r:id="rId4"/>
    <sheet name="Division A" sheetId="5" state="visible" r:id="rId5"/>
    <sheet name="Division B" sheetId="6" state="visible" r:id="rId6"/>
    <sheet name="Division C" sheetId="7" state="visible" r:id="rId7"/>
    <sheet name="Division D" sheetId="8" state="visible" r:id="rId8"/>
    <sheet name="Division E" sheetId="9" state="visible" r:id="rId9"/>
    <sheet name="Division F" sheetId="10" state="visible" r:id="rId10"/>
    <sheet name="Division 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D3748"/>
      <sz val="10"/>
    </font>
    <font>
      <name val="Segoe UI"/>
      <b val="1"/>
      <color rgb="001B365D"/>
      <sz val="14"/>
    </font>
    <font>
      <name val="Segoe UI"/>
      <b val="1"/>
      <color rgb="001A202C"/>
      <sz val="10"/>
    </font>
    <font>
      <name val="Segoe UI"/>
      <b val="1"/>
      <color rgb="001B365D"/>
      <sz val="12"/>
    </font>
    <font>
      <name val="Segoe UI"/>
      <b val="1"/>
      <color rgb="001B365D"/>
      <sz val="16"/>
    </font>
    <font>
      <name val="Segoe UI"/>
      <i val="1"/>
      <color rgb="00718096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6" borderId="0" pivotButton="0" quotePrefix="0" xfId="0"/>
    <xf numFmtId="0" fontId="2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30" customWidth="1" min="4" max="4"/>
    <col width="15" customWidth="1" min="5" max="5"/>
    <col width="5" customWidth="1" min="6" max="6"/>
    <col width="30" customWidth="1" min="7" max="7"/>
    <col width="15" customWidth="1" min="8" max="8"/>
  </cols>
  <sheetData>
    <row r="1">
      <c r="A1" s="1" t="inlineStr">
        <is>
          <t>District 227 Performance Dashboard</t>
        </is>
      </c>
    </row>
    <row r="2">
      <c r="A2" s="2" t="inlineStr">
        <is>
          <t>Membership, Payments &amp; Club Recognition Goals</t>
        </is>
      </c>
    </row>
    <row r="4">
      <c r="A4" s="3" t="inlineStr">
        <is>
          <t>Payments Goals</t>
        </is>
      </c>
      <c r="D4" s="3" t="inlineStr">
        <is>
          <t>Clubs Goals</t>
        </is>
      </c>
      <c r="G4" s="3" t="inlineStr">
        <is>
          <t>Distinguished Clubs Goals</t>
        </is>
      </c>
    </row>
    <row r="5">
      <c r="A5" s="4" t="inlineStr">
        <is>
          <t>Base Payments</t>
        </is>
      </c>
      <c r="B5" s="5" t="n">
        <v>8634</v>
      </c>
      <c r="D5" s="4" t="inlineStr">
        <is>
          <t>Base Clubs</t>
        </is>
      </c>
      <c r="E5" s="5" t="n">
        <v>174</v>
      </c>
      <c r="G5" s="4" t="inlineStr">
        <is>
          <t>Distinguished Clubs Prereq</t>
        </is>
      </c>
      <c r="H5" s="5" t="n">
        <v>0</v>
      </c>
    </row>
    <row r="6">
      <c r="A6" s="4" t="inlineStr">
        <is>
          <t>Distinguished</t>
        </is>
      </c>
      <c r="B6" s="5">
        <f>ROUND(B5*1.01, 0)</f>
        <v/>
      </c>
      <c r="D6" s="4" t="inlineStr">
        <is>
          <t>Distinguished</t>
        </is>
      </c>
      <c r="E6" s="5">
        <f>E5</f>
        <v/>
      </c>
      <c r="G6" s="4" t="inlineStr">
        <is>
          <t>Distinguished</t>
        </is>
      </c>
      <c r="H6" s="5">
        <f>ROUND(0.4*E5, 0)</f>
        <v/>
      </c>
    </row>
    <row r="7">
      <c r="A7" s="4" t="inlineStr">
        <is>
          <t>Select Distinguished</t>
        </is>
      </c>
      <c r="B7" s="5">
        <f>ROUND(B5*1.03, 0)</f>
        <v/>
      </c>
      <c r="D7" s="4" t="inlineStr">
        <is>
          <t>Select Distinguished</t>
        </is>
      </c>
      <c r="E7" s="5" t="n">
        <v>184</v>
      </c>
      <c r="G7" s="4" t="inlineStr">
        <is>
          <t>Select Distinguished</t>
        </is>
      </c>
      <c r="H7" s="5" t="n">
        <v>89</v>
      </c>
    </row>
    <row r="8">
      <c r="A8" s="4" t="inlineStr">
        <is>
          <t>President's Distinguished</t>
        </is>
      </c>
      <c r="B8" s="5">
        <f>ROUND(B5*1.05, 0)</f>
        <v/>
      </c>
      <c r="D8" s="4" t="inlineStr">
        <is>
          <t>President's Distinguished</t>
        </is>
      </c>
      <c r="E8" s="5" t="n">
        <v>194</v>
      </c>
      <c r="G8" s="4" t="inlineStr">
        <is>
          <t>President's Distinguished</t>
        </is>
      </c>
      <c r="H8" s="5" t="n">
        <v>100</v>
      </c>
    </row>
    <row r="9">
      <c r="A9" s="4" t="inlineStr">
        <is>
          <t>Smedley Distinguished</t>
        </is>
      </c>
      <c r="B9" s="5">
        <f>ROUND(B5*1.08, 0)</f>
        <v/>
      </c>
      <c r="D9" s="4" t="inlineStr">
        <is>
          <t>Smedley Distinguished</t>
        </is>
      </c>
      <c r="E9" s="5" t="n">
        <v>197</v>
      </c>
      <c r="G9" s="4" t="inlineStr">
        <is>
          <t>Smedley Distinguished</t>
        </is>
      </c>
      <c r="H9" s="5" t="n">
        <v>108</v>
      </c>
    </row>
    <row r="11">
      <c r="A11" s="6" t="inlineStr">
        <is>
          <t>Payments To Date</t>
        </is>
      </c>
      <c r="B11" s="7">
        <f>Overall!L12</f>
        <v/>
      </c>
      <c r="D11" s="6" t="inlineStr">
        <is>
          <t>Active Clubs</t>
        </is>
      </c>
      <c r="E11" s="7">
        <f>Overall!C12</f>
        <v/>
      </c>
      <c r="G11" s="6" t="inlineStr">
        <is>
          <t>Distinguished To Date</t>
        </is>
      </c>
      <c r="H11" s="7">
        <f>Overall!D12</f>
        <v/>
      </c>
    </row>
    <row r="13">
      <c r="A13" s="4" t="inlineStr">
        <is>
          <t>Pending Distinguished</t>
        </is>
      </c>
      <c r="B13" s="8">
        <f>IF(B6-B11&lt;0,0,B6-B11)</f>
        <v/>
      </c>
      <c r="D13" s="4" t="inlineStr">
        <is>
          <t>Pending Distinguished</t>
        </is>
      </c>
      <c r="E13" s="8">
        <f>IF(E6-E11&lt;0,0,E6-E11)</f>
        <v/>
      </c>
      <c r="G13" s="4" t="inlineStr">
        <is>
          <t>Pending Distinguished</t>
        </is>
      </c>
      <c r="H13" s="8">
        <f>IF(H6-H11&lt;0,0,H6-H11)</f>
        <v/>
      </c>
    </row>
    <row r="14">
      <c r="A14" s="4" t="inlineStr">
        <is>
          <t>Pending Select Distinguished</t>
        </is>
      </c>
      <c r="B14" s="8">
        <f>IF(B7-B11&lt;0,0,B7-B11)</f>
        <v/>
      </c>
      <c r="D14" s="4" t="inlineStr">
        <is>
          <t>Pending Select Distinguished</t>
        </is>
      </c>
      <c r="E14" s="8">
        <f>IF(E7-E11&lt;0,0,E7-E11)</f>
        <v/>
      </c>
      <c r="G14" s="4" t="inlineStr">
        <is>
          <t>Pending Select Distinguished</t>
        </is>
      </c>
      <c r="H14" s="8">
        <f>IF(H7-H11&lt;0,0,H7-H11)</f>
        <v/>
      </c>
    </row>
    <row r="15">
      <c r="A15" s="4" t="inlineStr">
        <is>
          <t>Pending President's Distinguished</t>
        </is>
      </c>
      <c r="B15" s="8">
        <f>IF(B8-B11&lt;0,0,B8-B11)</f>
        <v/>
      </c>
      <c r="D15" s="4" t="inlineStr">
        <is>
          <t>Pending President's Distinguished</t>
        </is>
      </c>
      <c r="E15" s="8">
        <f>IF(E8-E11&lt;0,0,E8-E11)</f>
        <v/>
      </c>
      <c r="G15" s="4" t="inlineStr">
        <is>
          <t>Pending President's Distinguished</t>
        </is>
      </c>
      <c r="H15" s="8">
        <f>IF(H8-H11&lt;0,0,H8-H11)</f>
        <v/>
      </c>
    </row>
    <row r="16">
      <c r="A16" s="4" t="inlineStr">
        <is>
          <t>Pending Smedley Distinguished</t>
        </is>
      </c>
      <c r="B16" s="8">
        <f>IF(B9-B11&lt;0,0,B9-B11)</f>
        <v/>
      </c>
      <c r="D16" s="4" t="inlineStr">
        <is>
          <t>Pending Smedley Distinguished</t>
        </is>
      </c>
      <c r="E16" s="8">
        <f>IF(E9-E11&lt;0,0,E9-E11)</f>
        <v/>
      </c>
      <c r="G16" s="4" t="inlineStr">
        <is>
          <t>Pending Smedley Distinguished</t>
        </is>
      </c>
      <c r="H16" s="8">
        <f>IF(H9-H11&lt;0,0,H9-H11)</f>
        <v/>
      </c>
    </row>
    <row r="18">
      <c r="A18" s="6" t="inlineStr">
        <is>
          <t>Payments % Base</t>
        </is>
      </c>
      <c r="B18" s="9">
        <f>B11/B5</f>
        <v/>
      </c>
      <c r="D18" s="6" t="inlineStr">
        <is>
          <t>20 + Clubs</t>
        </is>
      </c>
      <c r="E18" s="5">
        <f>Overall!M12</f>
        <v/>
      </c>
      <c r="G18" s="6" t="inlineStr">
        <is>
          <t>Distinguished % Base</t>
        </is>
      </c>
      <c r="H18" s="9">
        <f>H11/E5</f>
        <v/>
      </c>
    </row>
    <row r="19">
      <c r="A19" s="6" t="inlineStr">
        <is>
          <t>Payments % SDD Goal</t>
        </is>
      </c>
      <c r="B19" s="9">
        <f>B11/B9</f>
        <v/>
      </c>
      <c r="D19" s="6" t="inlineStr">
        <is>
          <t>20 + Clubs % Active Clubs</t>
        </is>
      </c>
      <c r="E19" s="9">
        <f>E18/E11</f>
        <v/>
      </c>
    </row>
    <row r="21">
      <c r="A21" s="10" t="inlineStr">
        <is>
          <t>Membership Campaigns &amp; Deadlines</t>
        </is>
      </c>
    </row>
    <row r="23">
      <c r="A23" s="11" t="inlineStr">
        <is>
          <t>Campaign Name</t>
        </is>
      </c>
      <c r="B23" s="11" t="inlineStr">
        <is>
          <t>Timeline</t>
        </is>
      </c>
      <c r="C23" s="11" t="inlineStr">
        <is>
          <t>Status / Time Left</t>
        </is>
      </c>
    </row>
    <row r="24">
      <c r="A24" s="4" t="inlineStr">
        <is>
          <t>Smedley Award</t>
        </is>
      </c>
      <c r="B24" s="12" t="inlineStr">
        <is>
          <t>Aug 1 - Sep 30</t>
        </is>
      </c>
      <c r="C24" s="13">
        <f>IF(TODAY()&gt;DATE(YEAR(TODAY()),9,30), "Ended", DATE(YEAR(TODAY()),9,30)-TODAY() &amp; " days left")</f>
        <v/>
      </c>
    </row>
    <row r="25">
      <c r="A25" s="4" t="inlineStr">
        <is>
          <t>Talk Up Toastmasters</t>
        </is>
      </c>
      <c r="B25" s="12" t="inlineStr">
        <is>
          <t>Feb 1 - Mar 31</t>
        </is>
      </c>
      <c r="C25" s="13">
        <f>IF(TODAY()&gt;DATE(YEAR(TODAY())+IF(MONTH(TODAY())&gt;3,1,0),3,31), "Ended", DATE(YEAR(TODAY())+IF(MONTH(TODAY())&gt;3,1,0),3,31)-TODAY() &amp; " days left")</f>
        <v/>
      </c>
    </row>
    <row r="26">
      <c r="A26" s="4" t="inlineStr">
        <is>
          <t>Beat the Clock</t>
        </is>
      </c>
      <c r="B26" s="12" t="inlineStr">
        <is>
          <t>May 1 - Jun 30</t>
        </is>
      </c>
      <c r="C26" s="13">
        <f>IF(TODAY()&gt;DATE(YEAR(TODAY())+IF(MONTH(TODAY())&gt;6,1,0),6,30), "Ended", DATE(YEAR(TODAY())+IF(MONTH(TODAY())&gt;6,1,0),6,30)-TODAY() &amp; " days left")</f>
        <v/>
      </c>
    </row>
  </sheetData>
  <mergeCells count="3">
    <mergeCell ref="A4:B4"/>
    <mergeCell ref="G4:H4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51" customWidth="1" min="5" max="5"/>
    <col width="14" customWidth="1" min="6" max="6"/>
    <col width="18" customWidth="1" min="7" max="7"/>
    <col width="20" customWidth="1" min="8" max="8"/>
    <col width="12" customWidth="1" min="9" max="9"/>
    <col width="22" customWidth="1" min="10" max="10"/>
    <col width="21" customWidth="1" min="11" max="11"/>
    <col width="17" customWidth="1" min="12" max="12"/>
    <col width="17" customWidth="1" min="13" max="13"/>
    <col width="22" customWidth="1" min="14" max="14"/>
    <col width="22" customWidth="1" min="15" max="15"/>
    <col width="23" customWidth="1" min="16" max="16"/>
    <col width="23" customWidth="1" min="17" max="17"/>
  </cols>
  <sheetData>
    <row r="1">
      <c r="A1" s="14" t="inlineStr">
        <is>
          <t>Club Number</t>
        </is>
      </c>
      <c r="B1" s="14" t="inlineStr">
        <is>
          <t>District</t>
        </is>
      </c>
      <c r="C1" s="14" t="inlineStr">
        <is>
          <t>Division</t>
        </is>
      </c>
      <c r="D1" s="14" t="inlineStr">
        <is>
          <t>Area</t>
        </is>
      </c>
      <c r="E1" s="14" t="inlineStr">
        <is>
          <t>Club Name</t>
        </is>
      </c>
      <c r="F1" s="14" t="inlineStr">
        <is>
          <t>Club Status</t>
        </is>
      </c>
      <c r="G1" s="14" t="inlineStr">
        <is>
          <t>Base Membership</t>
        </is>
      </c>
      <c r="H1" s="14" t="inlineStr">
        <is>
          <t>Active Membership</t>
        </is>
      </c>
      <c r="I1" s="14" t="inlineStr">
        <is>
          <t>Goals Met</t>
        </is>
      </c>
      <c r="J1" s="14" t="inlineStr">
        <is>
          <t>New Member Payments</t>
        </is>
      </c>
      <c r="K1" s="14" t="inlineStr">
        <is>
          <t>September Renewals</t>
        </is>
      </c>
      <c r="L1" s="14" t="inlineStr">
        <is>
          <t>March Renewals</t>
        </is>
      </c>
      <c r="M1" s="14" t="inlineStr">
        <is>
          <t>Total Payments</t>
        </is>
      </c>
      <c r="N1" s="14" t="inlineStr">
        <is>
          <t>Sept Single Renewal</t>
        </is>
      </c>
      <c r="O1" s="14" t="inlineStr">
        <is>
          <t>Sept Double Renewal</t>
        </is>
      </c>
      <c r="P1" s="14" t="inlineStr">
        <is>
          <t>March Single Renewal</t>
        </is>
      </c>
      <c r="Q1" s="14" t="inlineStr">
        <is>
          <t>March Double Renewal</t>
        </is>
      </c>
    </row>
    <row r="2">
      <c r="A2" s="15" t="n">
        <v>28679549</v>
      </c>
      <c r="B2" s="15" t="inlineStr">
        <is>
          <t>227</t>
        </is>
      </c>
      <c r="C2" s="15" t="inlineStr">
        <is>
          <t>0D</t>
        </is>
      </c>
      <c r="D2" s="15" t="inlineStr">
        <is>
          <t>0A</t>
        </is>
      </c>
      <c r="E2" s="16" t="inlineStr">
        <is>
          <t>Vialto Toastmasters Club</t>
        </is>
      </c>
      <c r="F2" s="15" t="inlineStr">
        <is>
          <t>Active</t>
        </is>
      </c>
      <c r="G2" s="17" t="n">
        <v>21</v>
      </c>
      <c r="H2" s="17" t="n">
        <v>21</v>
      </c>
      <c r="I2" s="17" t="n">
        <v>1</v>
      </c>
      <c r="J2" s="17" t="n">
        <v>0</v>
      </c>
      <c r="K2" s="17" t="n">
        <v>21</v>
      </c>
      <c r="L2" s="17" t="n">
        <v>0</v>
      </c>
      <c r="M2" s="17" t="n">
        <v>21</v>
      </c>
      <c r="N2" s="17" t="n">
        <v>21</v>
      </c>
      <c r="O2" s="17" t="n">
        <v>0</v>
      </c>
      <c r="P2" s="17" t="n">
        <v>0</v>
      </c>
      <c r="Q2" s="17" t="n">
        <v>0</v>
      </c>
    </row>
    <row r="3">
      <c r="A3" s="18" t="n">
        <v>28680070</v>
      </c>
      <c r="B3" s="18" t="inlineStr">
        <is>
          <t>227</t>
        </is>
      </c>
      <c r="C3" s="18" t="inlineStr">
        <is>
          <t>0D</t>
        </is>
      </c>
      <c r="D3" s="18" t="inlineStr">
        <is>
          <t>0A</t>
        </is>
      </c>
      <c r="E3" s="19" t="inlineStr">
        <is>
          <t>Envision India Toastmasters Club</t>
        </is>
      </c>
      <c r="F3" s="18" t="inlineStr">
        <is>
          <t>Active</t>
        </is>
      </c>
      <c r="G3" s="20" t="n">
        <v>24</v>
      </c>
      <c r="H3" s="20" t="n">
        <v>24</v>
      </c>
      <c r="I3" s="20" t="n">
        <v>1</v>
      </c>
      <c r="J3" s="20" t="n">
        <v>0</v>
      </c>
      <c r="K3" s="20" t="n">
        <v>24</v>
      </c>
      <c r="L3" s="20" t="n">
        <v>0</v>
      </c>
      <c r="M3" s="20" t="n">
        <v>48</v>
      </c>
      <c r="N3" s="20" t="n">
        <v>24</v>
      </c>
      <c r="O3" s="20" t="n">
        <v>0</v>
      </c>
      <c r="P3" s="20" t="n">
        <v>0</v>
      </c>
      <c r="Q3" s="20" t="n">
        <v>0</v>
      </c>
    </row>
    <row r="4">
      <c r="A4" s="15" t="n">
        <v>28680152</v>
      </c>
      <c r="B4" s="15" t="inlineStr">
        <is>
          <t>227</t>
        </is>
      </c>
      <c r="C4" s="15" t="inlineStr">
        <is>
          <t>0D</t>
        </is>
      </c>
      <c r="D4" s="15" t="inlineStr">
        <is>
          <t>0A</t>
        </is>
      </c>
      <c r="E4" s="16" t="inlineStr">
        <is>
          <t>rProcess Toastmasters Club</t>
        </is>
      </c>
      <c r="F4" s="15" t="inlineStr">
        <is>
          <t>Active</t>
        </is>
      </c>
      <c r="G4" s="17" t="n">
        <v>21</v>
      </c>
      <c r="H4" s="17" t="n">
        <v>21</v>
      </c>
      <c r="I4" s="17" t="n">
        <v>0</v>
      </c>
      <c r="J4" s="17" t="n">
        <v>0</v>
      </c>
      <c r="K4" s="17" t="n">
        <v>19</v>
      </c>
      <c r="L4" s="17" t="n">
        <v>0</v>
      </c>
      <c r="M4" s="17" t="n">
        <v>19</v>
      </c>
      <c r="N4" s="17" t="n">
        <v>19</v>
      </c>
      <c r="O4" s="17" t="n">
        <v>0</v>
      </c>
      <c r="P4" s="17" t="n">
        <v>0</v>
      </c>
      <c r="Q4" s="17" t="n">
        <v>0</v>
      </c>
    </row>
    <row r="5">
      <c r="A5" s="18" t="n">
        <v>28680397</v>
      </c>
      <c r="B5" s="18" t="inlineStr">
        <is>
          <t>227</t>
        </is>
      </c>
      <c r="C5" s="18" t="inlineStr">
        <is>
          <t>0D</t>
        </is>
      </c>
      <c r="D5" s="18" t="inlineStr">
        <is>
          <t>0A</t>
        </is>
      </c>
      <c r="E5" s="19" t="inlineStr">
        <is>
          <t>Uxcel Toastmasters Club</t>
        </is>
      </c>
      <c r="F5" s="18" t="inlineStr">
        <is>
          <t>Active</t>
        </is>
      </c>
      <c r="G5" s="20" t="n">
        <v>20</v>
      </c>
      <c r="H5" s="20" t="n">
        <v>20</v>
      </c>
      <c r="I5" s="20" t="n">
        <v>0</v>
      </c>
      <c r="J5" s="20" t="n">
        <v>0</v>
      </c>
      <c r="K5" s="20" t="n">
        <v>8</v>
      </c>
      <c r="L5" s="20" t="n">
        <v>7</v>
      </c>
      <c r="M5" s="20" t="n">
        <v>15</v>
      </c>
      <c r="N5" s="20" t="n">
        <v>8</v>
      </c>
      <c r="O5" s="20" t="n">
        <v>0</v>
      </c>
      <c r="P5" s="20" t="n">
        <v>7</v>
      </c>
      <c r="Q5" s="20" t="n">
        <v>0</v>
      </c>
    </row>
    <row r="6">
      <c r="A6" s="15" t="n">
        <v>28680500</v>
      </c>
      <c r="B6" s="15" t="inlineStr">
        <is>
          <t>227</t>
        </is>
      </c>
      <c r="C6" s="15" t="inlineStr">
        <is>
          <t>0D</t>
        </is>
      </c>
      <c r="D6" s="15" t="inlineStr">
        <is>
          <t>0A</t>
        </is>
      </c>
      <c r="E6" s="16" t="inlineStr">
        <is>
          <t>eGov Toastmasters Club</t>
        </is>
      </c>
      <c r="F6" s="15" t="inlineStr">
        <is>
          <t>Active</t>
        </is>
      </c>
      <c r="G6" s="17" t="n">
        <v>30</v>
      </c>
      <c r="H6" s="17" t="n">
        <v>30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</row>
    <row r="7">
      <c r="A7" s="18" t="n">
        <v>3803102</v>
      </c>
      <c r="B7" s="18" t="inlineStr">
        <is>
          <t>227</t>
        </is>
      </c>
      <c r="C7" s="18" t="inlineStr">
        <is>
          <t>A</t>
        </is>
      </c>
      <c r="D7" s="18" t="inlineStr">
        <is>
          <t>01</t>
        </is>
      </c>
      <c r="E7" s="19" t="inlineStr">
        <is>
          <t>RESONANCE</t>
        </is>
      </c>
      <c r="F7" s="18" t="inlineStr">
        <is>
          <t>Active</t>
        </is>
      </c>
      <c r="G7" s="20" t="n">
        <v>33</v>
      </c>
      <c r="H7" s="20" t="n">
        <v>33</v>
      </c>
      <c r="I7" s="20" t="n">
        <v>0</v>
      </c>
      <c r="J7" s="20" t="n">
        <v>0</v>
      </c>
      <c r="K7" s="20" t="n">
        <v>15</v>
      </c>
      <c r="L7" s="20" t="n">
        <v>11</v>
      </c>
      <c r="M7" s="20" t="n">
        <v>26</v>
      </c>
      <c r="N7" s="20" t="n">
        <v>15</v>
      </c>
      <c r="O7" s="20" t="n">
        <v>0</v>
      </c>
      <c r="P7" s="20" t="n">
        <v>11</v>
      </c>
      <c r="Q7" s="20" t="n">
        <v>0</v>
      </c>
    </row>
    <row r="8">
      <c r="A8" s="15" t="n">
        <v>28675382</v>
      </c>
      <c r="B8" s="15" t="inlineStr">
        <is>
          <t>227</t>
        </is>
      </c>
      <c r="C8" s="15" t="inlineStr">
        <is>
          <t>A</t>
        </is>
      </c>
      <c r="D8" s="15" t="inlineStr">
        <is>
          <t>01</t>
        </is>
      </c>
      <c r="E8" s="16" t="inlineStr">
        <is>
          <t>INDO-MIM Toastmasters Club</t>
        </is>
      </c>
      <c r="F8" s="15" t="inlineStr">
        <is>
          <t>Active</t>
        </is>
      </c>
      <c r="G8" s="17" t="n">
        <v>13</v>
      </c>
      <c r="H8" s="17" t="n">
        <v>13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</row>
    <row r="9">
      <c r="A9" s="18" t="n">
        <v>28676720</v>
      </c>
      <c r="B9" s="18" t="inlineStr">
        <is>
          <t>227</t>
        </is>
      </c>
      <c r="C9" s="18" t="inlineStr">
        <is>
          <t>A</t>
        </is>
      </c>
      <c r="D9" s="18" t="inlineStr">
        <is>
          <t>01</t>
        </is>
      </c>
      <c r="E9" s="19" t="inlineStr">
        <is>
          <t>Presidency University Toastmasters Club</t>
        </is>
      </c>
      <c r="F9" s="18" t="inlineStr">
        <is>
          <t>Active</t>
        </is>
      </c>
      <c r="G9" s="20" t="n">
        <v>15</v>
      </c>
      <c r="H9" s="20" t="n">
        <v>15</v>
      </c>
      <c r="I9" s="20" t="n">
        <v>0</v>
      </c>
      <c r="J9" s="20" t="n">
        <v>0</v>
      </c>
      <c r="K9" s="20" t="n">
        <v>10</v>
      </c>
      <c r="L9" s="20" t="n">
        <v>1</v>
      </c>
      <c r="M9" s="20" t="n">
        <v>11</v>
      </c>
      <c r="N9" s="20" t="n">
        <v>10</v>
      </c>
      <c r="O9" s="20" t="n">
        <v>0</v>
      </c>
      <c r="P9" s="20" t="n">
        <v>1</v>
      </c>
      <c r="Q9" s="20" t="n">
        <v>0</v>
      </c>
    </row>
    <row r="10">
      <c r="A10" s="15" t="n">
        <v>28678850</v>
      </c>
      <c r="B10" s="15" t="inlineStr">
        <is>
          <t>227</t>
        </is>
      </c>
      <c r="C10" s="15" t="inlineStr">
        <is>
          <t>A</t>
        </is>
      </c>
      <c r="D10" s="15" t="inlineStr">
        <is>
          <t>01</t>
        </is>
      </c>
      <c r="E10" s="16" t="inlineStr">
        <is>
          <t>Shell STCB Verve</t>
        </is>
      </c>
      <c r="F10" s="15" t="inlineStr">
        <is>
          <t>Active</t>
        </is>
      </c>
      <c r="G10" s="17" t="n">
        <v>27</v>
      </c>
      <c r="H10" s="17" t="n">
        <v>28</v>
      </c>
      <c r="I10" s="17" t="n">
        <v>1</v>
      </c>
      <c r="J10" s="17" t="n">
        <v>1</v>
      </c>
      <c r="K10" s="17" t="n">
        <v>9</v>
      </c>
      <c r="L10" s="17" t="n">
        <v>3</v>
      </c>
      <c r="M10" s="17" t="n">
        <v>13</v>
      </c>
      <c r="N10" s="17" t="n">
        <v>9</v>
      </c>
      <c r="O10" s="17" t="n">
        <v>0</v>
      </c>
      <c r="P10" s="17" t="n">
        <v>3</v>
      </c>
      <c r="Q10" s="17" t="n">
        <v>0</v>
      </c>
    </row>
    <row r="11">
      <c r="A11" s="18" t="n">
        <v>28679352</v>
      </c>
      <c r="B11" s="18" t="inlineStr">
        <is>
          <t>227</t>
        </is>
      </c>
      <c r="C11" s="18" t="inlineStr">
        <is>
          <t>A</t>
        </is>
      </c>
      <c r="D11" s="18" t="inlineStr">
        <is>
          <t>01</t>
        </is>
      </c>
      <c r="E11" s="19" t="inlineStr">
        <is>
          <t>Eden Toastmasters Club</t>
        </is>
      </c>
      <c r="F11" s="18" t="inlineStr">
        <is>
          <t>Active</t>
        </is>
      </c>
      <c r="G11" s="20" t="n">
        <v>10</v>
      </c>
      <c r="H11" s="20" t="n">
        <v>12</v>
      </c>
      <c r="I11" s="20" t="n">
        <v>0</v>
      </c>
      <c r="J11" s="20" t="n">
        <v>2</v>
      </c>
      <c r="K11" s="20" t="n">
        <v>0</v>
      </c>
      <c r="L11" s="20" t="n">
        <v>0</v>
      </c>
      <c r="M11" s="20" t="n">
        <v>2</v>
      </c>
      <c r="N11" s="20" t="n">
        <v>0</v>
      </c>
      <c r="O11" s="20" t="n">
        <v>0</v>
      </c>
      <c r="P11" s="20" t="n">
        <v>0</v>
      </c>
      <c r="Q11" s="20" t="n">
        <v>0</v>
      </c>
    </row>
    <row r="12">
      <c r="A12" s="15" t="n">
        <v>28679508</v>
      </c>
      <c r="B12" s="15" t="inlineStr">
        <is>
          <t>227</t>
        </is>
      </c>
      <c r="C12" s="15" t="inlineStr">
        <is>
          <t>A</t>
        </is>
      </c>
      <c r="D12" s="15" t="inlineStr">
        <is>
          <t>01</t>
        </is>
      </c>
      <c r="E12" s="16" t="inlineStr">
        <is>
          <t>SISA Emerging Orators Circle</t>
        </is>
      </c>
      <c r="F12" s="15" t="inlineStr">
        <is>
          <t>Active</t>
        </is>
      </c>
      <c r="G12" s="17" t="n">
        <v>16</v>
      </c>
      <c r="H12" s="17" t="n">
        <v>16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</row>
    <row r="13">
      <c r="A13" s="18" t="n">
        <v>2379914</v>
      </c>
      <c r="B13" s="18" t="inlineStr">
        <is>
          <t>227</t>
        </is>
      </c>
      <c r="C13" s="18" t="inlineStr">
        <is>
          <t>A</t>
        </is>
      </c>
      <c r="D13" s="18" t="inlineStr">
        <is>
          <t>02</t>
        </is>
      </c>
      <c r="E13" s="19" t="inlineStr">
        <is>
          <t>Beechi Toastmasters Club</t>
        </is>
      </c>
      <c r="F13" s="18" t="inlineStr">
        <is>
          <t>Active</t>
        </is>
      </c>
      <c r="G13" s="20" t="n">
        <v>48</v>
      </c>
      <c r="H13" s="20" t="n">
        <v>48</v>
      </c>
      <c r="I13" s="20" t="n">
        <v>0</v>
      </c>
      <c r="J13" s="20" t="n">
        <v>0</v>
      </c>
      <c r="K13" s="20" t="n">
        <v>26</v>
      </c>
      <c r="L13" s="20" t="n">
        <v>11</v>
      </c>
      <c r="M13" s="20" t="n">
        <v>37</v>
      </c>
      <c r="N13" s="20" t="n">
        <v>26</v>
      </c>
      <c r="O13" s="20" t="n">
        <v>0</v>
      </c>
      <c r="P13" s="20" t="n">
        <v>11</v>
      </c>
      <c r="Q13" s="20" t="n">
        <v>0</v>
      </c>
    </row>
    <row r="14">
      <c r="A14" s="15" t="n">
        <v>7459390</v>
      </c>
      <c r="B14" s="15" t="inlineStr">
        <is>
          <t>227</t>
        </is>
      </c>
      <c r="C14" s="15" t="inlineStr">
        <is>
          <t>A</t>
        </is>
      </c>
      <c r="D14" s="15" t="inlineStr">
        <is>
          <t>02</t>
        </is>
      </c>
      <c r="E14" s="16" t="inlineStr">
        <is>
          <t>Eloquence AZ</t>
        </is>
      </c>
      <c r="F14" s="15" t="inlineStr">
        <is>
          <t>Active</t>
        </is>
      </c>
      <c r="G14" s="17" t="n">
        <v>8</v>
      </c>
      <c r="H14" s="17" t="n">
        <v>9</v>
      </c>
      <c r="I14" s="17" t="n">
        <v>0</v>
      </c>
      <c r="J14" s="17" t="n">
        <v>1</v>
      </c>
      <c r="K14" s="17" t="n">
        <v>4</v>
      </c>
      <c r="L14" s="17" t="n">
        <v>0</v>
      </c>
      <c r="M14" s="17" t="n">
        <v>5</v>
      </c>
      <c r="N14" s="17" t="n">
        <v>4</v>
      </c>
      <c r="O14" s="17" t="n">
        <v>0</v>
      </c>
      <c r="P14" s="17" t="n">
        <v>0</v>
      </c>
      <c r="Q14" s="17" t="n">
        <v>0</v>
      </c>
    </row>
    <row r="15">
      <c r="A15" s="18" t="n">
        <v>7876884</v>
      </c>
      <c r="B15" s="18" t="inlineStr">
        <is>
          <t>227</t>
        </is>
      </c>
      <c r="C15" s="18" t="inlineStr">
        <is>
          <t>A</t>
        </is>
      </c>
      <c r="D15" s="18" t="inlineStr">
        <is>
          <t>02</t>
        </is>
      </c>
      <c r="E15" s="19" t="inlineStr">
        <is>
          <t>Vidyaranyapura Toastmasters Club</t>
        </is>
      </c>
      <c r="F15" s="18" t="inlineStr">
        <is>
          <t>Active</t>
        </is>
      </c>
      <c r="G15" s="20" t="n">
        <v>25</v>
      </c>
      <c r="H15" s="20" t="n">
        <v>27</v>
      </c>
      <c r="I15" s="20" t="n">
        <v>0</v>
      </c>
      <c r="J15" s="20" t="n">
        <v>2</v>
      </c>
      <c r="K15" s="20" t="n">
        <v>7</v>
      </c>
      <c r="L15" s="20" t="n">
        <v>0</v>
      </c>
      <c r="M15" s="20" t="n">
        <v>9</v>
      </c>
      <c r="N15" s="20" t="n">
        <v>7</v>
      </c>
      <c r="O15" s="20" t="n">
        <v>0</v>
      </c>
      <c r="P15" s="20" t="n">
        <v>0</v>
      </c>
      <c r="Q15" s="20" t="n">
        <v>0</v>
      </c>
    </row>
    <row r="16">
      <c r="A16" s="15" t="n">
        <v>28677738</v>
      </c>
      <c r="B16" s="15" t="inlineStr">
        <is>
          <t>227</t>
        </is>
      </c>
      <c r="C16" s="15" t="inlineStr">
        <is>
          <t>A</t>
        </is>
      </c>
      <c r="D16" s="15" t="inlineStr">
        <is>
          <t>02</t>
        </is>
      </c>
      <c r="E16" s="16" t="inlineStr">
        <is>
          <t>Scarlet Speakers</t>
        </is>
      </c>
      <c r="F16" s="15" t="inlineStr">
        <is>
          <t>Active</t>
        </is>
      </c>
      <c r="G16" s="17" t="n">
        <v>25</v>
      </c>
      <c r="H16" s="17" t="n">
        <v>25</v>
      </c>
      <c r="I16" s="17" t="n">
        <v>0</v>
      </c>
      <c r="J16" s="17" t="n">
        <v>0</v>
      </c>
      <c r="K16" s="17" t="n">
        <v>11</v>
      </c>
      <c r="L16" s="17" t="n">
        <v>7</v>
      </c>
      <c r="M16" s="17" t="n">
        <v>18</v>
      </c>
      <c r="N16" s="17" t="n">
        <v>11</v>
      </c>
      <c r="O16" s="17" t="n">
        <v>0</v>
      </c>
      <c r="P16" s="17" t="n">
        <v>7</v>
      </c>
      <c r="Q16" s="17" t="n">
        <v>0</v>
      </c>
    </row>
    <row r="17">
      <c r="A17" s="18" t="n">
        <v>28679627</v>
      </c>
      <c r="B17" s="18" t="inlineStr">
        <is>
          <t>227</t>
        </is>
      </c>
      <c r="C17" s="18" t="inlineStr">
        <is>
          <t>A</t>
        </is>
      </c>
      <c r="D17" s="18" t="inlineStr">
        <is>
          <t>02</t>
        </is>
      </c>
      <c r="E17" s="19" t="inlineStr">
        <is>
          <t>MAHE Bengaluru Toastmasters Club</t>
        </is>
      </c>
      <c r="F17" s="18" t="inlineStr">
        <is>
          <t>Active</t>
        </is>
      </c>
      <c r="G17" s="20" t="n">
        <v>22</v>
      </c>
      <c r="H17" s="20" t="n">
        <v>22</v>
      </c>
      <c r="I17" s="20" t="n">
        <v>0</v>
      </c>
      <c r="J17" s="20" t="n">
        <v>0</v>
      </c>
      <c r="K17" s="20" t="n">
        <v>5</v>
      </c>
      <c r="L17" s="20" t="n">
        <v>0</v>
      </c>
      <c r="M17" s="20" t="n">
        <v>5</v>
      </c>
      <c r="N17" s="20" t="n">
        <v>5</v>
      </c>
      <c r="O17" s="20" t="n">
        <v>0</v>
      </c>
      <c r="P17" s="20" t="n">
        <v>0</v>
      </c>
      <c r="Q17" s="20" t="n">
        <v>0</v>
      </c>
    </row>
    <row r="18">
      <c r="A18" s="15" t="n">
        <v>2158258</v>
      </c>
      <c r="B18" s="15" t="inlineStr">
        <is>
          <t>227</t>
        </is>
      </c>
      <c r="C18" s="15" t="inlineStr">
        <is>
          <t>A</t>
        </is>
      </c>
      <c r="D18" s="15" t="inlineStr">
        <is>
          <t>03</t>
        </is>
      </c>
      <c r="E18" s="16" t="inlineStr">
        <is>
          <t>Collins Bengaluru Toastmasters Club</t>
        </is>
      </c>
      <c r="F18" s="15" t="inlineStr">
        <is>
          <t>Active</t>
        </is>
      </c>
      <c r="G18" s="17" t="n">
        <v>19</v>
      </c>
      <c r="H18" s="17" t="n">
        <v>19</v>
      </c>
      <c r="I18" s="17" t="n">
        <v>0</v>
      </c>
      <c r="J18" s="17" t="n">
        <v>0</v>
      </c>
      <c r="K18" s="17" t="n">
        <v>6</v>
      </c>
      <c r="L18" s="17" t="n">
        <v>0</v>
      </c>
      <c r="M18" s="17" t="n">
        <v>6</v>
      </c>
      <c r="N18" s="17" t="n">
        <v>6</v>
      </c>
      <c r="O18" s="17" t="n">
        <v>0</v>
      </c>
      <c r="P18" s="17" t="n">
        <v>0</v>
      </c>
      <c r="Q18" s="17" t="n">
        <v>0</v>
      </c>
    </row>
    <row r="19">
      <c r="A19" s="18" t="n">
        <v>5424705</v>
      </c>
      <c r="B19" s="18" t="inlineStr">
        <is>
          <t>227</t>
        </is>
      </c>
      <c r="C19" s="18" t="inlineStr">
        <is>
          <t>A</t>
        </is>
      </c>
      <c r="D19" s="18" t="inlineStr">
        <is>
          <t>03</t>
        </is>
      </c>
      <c r="E19" s="19" t="inlineStr">
        <is>
          <t>Where Is the Mic?</t>
        </is>
      </c>
      <c r="F19" s="18" t="inlineStr">
        <is>
          <t>Active</t>
        </is>
      </c>
      <c r="G19" s="20" t="n">
        <v>24</v>
      </c>
      <c r="H19" s="20" t="n">
        <v>24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</row>
    <row r="20">
      <c r="A20" s="15" t="n">
        <v>6507031</v>
      </c>
      <c r="B20" s="15" t="inlineStr">
        <is>
          <t>227</t>
        </is>
      </c>
      <c r="C20" s="15" t="inlineStr">
        <is>
          <t>A</t>
        </is>
      </c>
      <c r="D20" s="15" t="inlineStr">
        <is>
          <t>03</t>
        </is>
      </c>
      <c r="E20" s="16" t="inlineStr">
        <is>
          <t>ANZ TechTalkers</t>
        </is>
      </c>
      <c r="F20" s="15" t="inlineStr">
        <is>
          <t>Active</t>
        </is>
      </c>
      <c r="G20" s="17" t="n">
        <v>8</v>
      </c>
      <c r="H20" s="17" t="n">
        <v>39</v>
      </c>
      <c r="I20" s="17" t="n">
        <v>2</v>
      </c>
      <c r="J20" s="17" t="n">
        <v>31</v>
      </c>
      <c r="K20" s="17" t="n">
        <v>6</v>
      </c>
      <c r="L20" s="17" t="n">
        <v>6</v>
      </c>
      <c r="M20" s="17" t="n">
        <v>43</v>
      </c>
      <c r="N20" s="17" t="n">
        <v>6</v>
      </c>
      <c r="O20" s="17" t="n">
        <v>0</v>
      </c>
      <c r="P20" s="17" t="n">
        <v>6</v>
      </c>
      <c r="Q20" s="17" t="n">
        <v>0</v>
      </c>
    </row>
    <row r="21">
      <c r="A21" s="18" t="n">
        <v>6808086</v>
      </c>
      <c r="B21" s="18" t="inlineStr">
        <is>
          <t>227</t>
        </is>
      </c>
      <c r="C21" s="18" t="inlineStr">
        <is>
          <t>A</t>
        </is>
      </c>
      <c r="D21" s="18" t="inlineStr">
        <is>
          <t>03</t>
        </is>
      </c>
      <c r="E21" s="19" t="inlineStr">
        <is>
          <t>Cerner BLR Constellate</t>
        </is>
      </c>
      <c r="F21" s="18" t="inlineStr">
        <is>
          <t>Ineligible</t>
        </is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</row>
    <row r="22">
      <c r="A22" s="15" t="n">
        <v>28675371</v>
      </c>
      <c r="B22" s="15" t="inlineStr">
        <is>
          <t>227</t>
        </is>
      </c>
      <c r="C22" s="15" t="inlineStr">
        <is>
          <t>A</t>
        </is>
      </c>
      <c r="D22" s="15" t="inlineStr">
        <is>
          <t>03</t>
        </is>
      </c>
      <c r="E22" s="16" t="inlineStr">
        <is>
          <t>Philips Bangalore Toastmasters Club</t>
        </is>
      </c>
      <c r="F22" s="15" t="inlineStr">
        <is>
          <t>Active</t>
        </is>
      </c>
      <c r="G22" s="17" t="n">
        <v>22</v>
      </c>
      <c r="H22" s="17" t="n">
        <v>22</v>
      </c>
      <c r="I22" s="17" t="n">
        <v>0</v>
      </c>
      <c r="J22" s="17" t="n">
        <v>0</v>
      </c>
      <c r="K22" s="17" t="n">
        <v>7</v>
      </c>
      <c r="L22" s="17" t="n">
        <v>5</v>
      </c>
      <c r="M22" s="17" t="n">
        <v>12</v>
      </c>
      <c r="N22" s="17" t="n">
        <v>7</v>
      </c>
      <c r="O22" s="17" t="n">
        <v>0</v>
      </c>
      <c r="P22" s="17" t="n">
        <v>5</v>
      </c>
      <c r="Q22" s="17" t="n">
        <v>0</v>
      </c>
    </row>
    <row r="23">
      <c r="A23" s="18" t="n">
        <v>28675669</v>
      </c>
      <c r="B23" s="18" t="inlineStr">
        <is>
          <t>227</t>
        </is>
      </c>
      <c r="C23" s="18" t="inlineStr">
        <is>
          <t>A</t>
        </is>
      </c>
      <c r="D23" s="18" t="inlineStr">
        <is>
          <t>03</t>
        </is>
      </c>
      <c r="E23" s="19" t="inlineStr">
        <is>
          <t>CBA India Toastmasters Club</t>
        </is>
      </c>
      <c r="F23" s="18" t="inlineStr">
        <is>
          <t>Active</t>
        </is>
      </c>
      <c r="G23" s="20" t="n">
        <v>29</v>
      </c>
      <c r="H23" s="20" t="n">
        <v>29</v>
      </c>
      <c r="I23" s="20" t="n">
        <v>0</v>
      </c>
      <c r="J23" s="20" t="n">
        <v>0</v>
      </c>
      <c r="K23" s="20" t="n">
        <v>25</v>
      </c>
      <c r="L23" s="20" t="n">
        <v>0</v>
      </c>
      <c r="M23" s="20" t="n">
        <v>25</v>
      </c>
      <c r="N23" s="20" t="n">
        <v>25</v>
      </c>
      <c r="O23" s="20" t="n">
        <v>0</v>
      </c>
      <c r="P23" s="20" t="n">
        <v>0</v>
      </c>
      <c r="Q23" s="20" t="n">
        <v>0</v>
      </c>
    </row>
    <row r="24">
      <c r="A24" s="15" t="n">
        <v>28679257</v>
      </c>
      <c r="B24" s="15" t="inlineStr">
        <is>
          <t>227</t>
        </is>
      </c>
      <c r="C24" s="15" t="inlineStr">
        <is>
          <t>A</t>
        </is>
      </c>
      <c r="D24" s="15" t="inlineStr">
        <is>
          <t>03</t>
        </is>
      </c>
      <c r="E24" s="16" t="inlineStr">
        <is>
          <t>IBM Online Toastmasters Club</t>
        </is>
      </c>
      <c r="F24" s="15" t="inlineStr">
        <is>
          <t>Active</t>
        </is>
      </c>
      <c r="G24" s="17" t="n">
        <v>8</v>
      </c>
      <c r="H24" s="17" t="n">
        <v>8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</row>
    <row r="25">
      <c r="A25" s="18" t="n">
        <v>1378869</v>
      </c>
      <c r="B25" s="18" t="inlineStr">
        <is>
          <t>227</t>
        </is>
      </c>
      <c r="C25" s="18" t="inlineStr">
        <is>
          <t>A</t>
        </is>
      </c>
      <c r="D25" s="18" t="inlineStr">
        <is>
          <t>04</t>
        </is>
      </c>
      <c r="E25" s="19" t="inlineStr">
        <is>
          <t>Blue Expression Toastmasters Club</t>
        </is>
      </c>
      <c r="F25" s="18" t="inlineStr">
        <is>
          <t>Active</t>
        </is>
      </c>
      <c r="G25" s="20" t="n">
        <v>9</v>
      </c>
      <c r="H25" s="20" t="n">
        <v>9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</row>
    <row r="26">
      <c r="A26" s="15" t="n">
        <v>2870184</v>
      </c>
      <c r="B26" s="15" t="inlineStr">
        <is>
          <t>227</t>
        </is>
      </c>
      <c r="C26" s="15" t="inlineStr">
        <is>
          <t>A</t>
        </is>
      </c>
      <c r="D26" s="15" t="inlineStr">
        <is>
          <t>04</t>
        </is>
      </c>
      <c r="E26" s="16" t="inlineStr">
        <is>
          <t>Talkmagic Toastmasters Club</t>
        </is>
      </c>
      <c r="F26" s="15" t="inlineStr">
        <is>
          <t>Active</t>
        </is>
      </c>
      <c r="G26" s="17" t="n">
        <v>56</v>
      </c>
      <c r="H26" s="17" t="n">
        <v>56</v>
      </c>
      <c r="I26" s="17" t="n">
        <v>1</v>
      </c>
      <c r="J26" s="17" t="n">
        <v>0</v>
      </c>
      <c r="K26" s="17" t="n">
        <v>2</v>
      </c>
      <c r="L26" s="17" t="n">
        <v>0</v>
      </c>
      <c r="M26" s="17" t="n">
        <v>2</v>
      </c>
      <c r="N26" s="17" t="n">
        <v>2</v>
      </c>
      <c r="O26" s="17" t="n">
        <v>0</v>
      </c>
      <c r="P26" s="17" t="n">
        <v>0</v>
      </c>
      <c r="Q26" s="17" t="n">
        <v>0</v>
      </c>
    </row>
    <row r="27">
      <c r="A27" s="18" t="n">
        <v>6768732</v>
      </c>
      <c r="B27" s="18" t="inlineStr">
        <is>
          <t>227</t>
        </is>
      </c>
      <c r="C27" s="18" t="inlineStr">
        <is>
          <t>A</t>
        </is>
      </c>
      <c r="D27" s="18" t="inlineStr">
        <is>
          <t>04</t>
        </is>
      </c>
      <c r="E27" s="19" t="inlineStr">
        <is>
          <t>Anchor ED Toastmasters Club</t>
        </is>
      </c>
      <c r="F27" s="18" t="inlineStr">
        <is>
          <t>Active</t>
        </is>
      </c>
      <c r="G27" s="20" t="n">
        <v>27</v>
      </c>
      <c r="H27" s="20" t="n">
        <v>27</v>
      </c>
      <c r="I27" s="20" t="n">
        <v>0</v>
      </c>
      <c r="J27" s="20" t="n">
        <v>0</v>
      </c>
      <c r="K27" s="20" t="n">
        <v>1</v>
      </c>
      <c r="L27" s="20" t="n">
        <v>1</v>
      </c>
      <c r="M27" s="20" t="n">
        <v>2</v>
      </c>
      <c r="N27" s="20" t="n">
        <v>1</v>
      </c>
      <c r="O27" s="20" t="n">
        <v>0</v>
      </c>
      <c r="P27" s="20" t="n">
        <v>1</v>
      </c>
      <c r="Q27" s="20" t="n">
        <v>0</v>
      </c>
    </row>
    <row r="28">
      <c r="A28" s="15" t="n">
        <v>7535157</v>
      </c>
      <c r="B28" s="15" t="inlineStr">
        <is>
          <t>227</t>
        </is>
      </c>
      <c r="C28" s="15" t="inlineStr">
        <is>
          <t>A</t>
        </is>
      </c>
      <c r="D28" s="15" t="inlineStr">
        <is>
          <t>04</t>
        </is>
      </c>
      <c r="E28" s="16" t="inlineStr">
        <is>
          <t>Speech Studio Toastmasters Club</t>
        </is>
      </c>
      <c r="F28" s="15" t="inlineStr">
        <is>
          <t>Active</t>
        </is>
      </c>
      <c r="G28" s="17" t="n">
        <v>13</v>
      </c>
      <c r="H28" s="17" t="n">
        <v>15</v>
      </c>
      <c r="I28" s="17" t="n">
        <v>0</v>
      </c>
      <c r="J28" s="17" t="n">
        <v>2</v>
      </c>
      <c r="K28" s="17" t="n">
        <v>10</v>
      </c>
      <c r="L28" s="17" t="n">
        <v>9</v>
      </c>
      <c r="M28" s="17" t="n">
        <v>21</v>
      </c>
      <c r="N28" s="17" t="n">
        <v>10</v>
      </c>
      <c r="O28" s="17" t="n">
        <v>0</v>
      </c>
      <c r="P28" s="17" t="n">
        <v>9</v>
      </c>
      <c r="Q28" s="17" t="n">
        <v>0</v>
      </c>
    </row>
    <row r="29">
      <c r="A29" s="18" t="n">
        <v>28679188</v>
      </c>
      <c r="B29" s="18" t="inlineStr">
        <is>
          <t>227</t>
        </is>
      </c>
      <c r="C29" s="18" t="inlineStr">
        <is>
          <t>A</t>
        </is>
      </c>
      <c r="D29" s="18" t="inlineStr">
        <is>
          <t>04</t>
        </is>
      </c>
      <c r="E29" s="19" t="inlineStr">
        <is>
          <t>First Citizens India Toastmasters Club</t>
        </is>
      </c>
      <c r="F29" s="18" t="inlineStr">
        <is>
          <t>Active</t>
        </is>
      </c>
      <c r="G29" s="20" t="n">
        <v>50</v>
      </c>
      <c r="H29" s="20" t="n">
        <v>50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</row>
    <row r="30">
      <c r="A30" s="15" t="n">
        <v>1766</v>
      </c>
      <c r="B30" s="15" t="inlineStr">
        <is>
          <t>227</t>
        </is>
      </c>
      <c r="C30" s="15" t="inlineStr">
        <is>
          <t>B</t>
        </is>
      </c>
      <c r="D30" s="15" t="inlineStr">
        <is>
          <t>01</t>
        </is>
      </c>
      <c r="E30" s="16" t="inlineStr">
        <is>
          <t>Daffodils Toastmasters Club</t>
        </is>
      </c>
      <c r="F30" s="15" t="inlineStr">
        <is>
          <t>Active</t>
        </is>
      </c>
      <c r="G30" s="17" t="n">
        <v>38</v>
      </c>
      <c r="H30" s="17" t="n">
        <v>38</v>
      </c>
      <c r="I30" s="17" t="n">
        <v>0</v>
      </c>
      <c r="J30" s="17" t="n">
        <v>0</v>
      </c>
      <c r="K30" s="17" t="n">
        <v>1</v>
      </c>
      <c r="L30" s="17" t="n">
        <v>1</v>
      </c>
      <c r="M30" s="17" t="n">
        <v>2</v>
      </c>
      <c r="N30" s="17" t="n">
        <v>1</v>
      </c>
      <c r="O30" s="17" t="n">
        <v>0</v>
      </c>
      <c r="P30" s="17" t="n">
        <v>1</v>
      </c>
      <c r="Q30" s="17" t="n">
        <v>0</v>
      </c>
    </row>
    <row r="31">
      <c r="A31" s="18" t="n">
        <v>1523866</v>
      </c>
      <c r="B31" s="18" t="inlineStr">
        <is>
          <t>227</t>
        </is>
      </c>
      <c r="C31" s="18" t="inlineStr">
        <is>
          <t>B</t>
        </is>
      </c>
      <c r="D31" s="18" t="inlineStr">
        <is>
          <t>01</t>
        </is>
      </c>
      <c r="E31" s="19" t="inlineStr">
        <is>
          <t>Bangalore CA's Toastmasters Club</t>
        </is>
      </c>
      <c r="F31" s="18" t="inlineStr">
        <is>
          <t>Active</t>
        </is>
      </c>
      <c r="G31" s="20" t="n">
        <v>20</v>
      </c>
      <c r="H31" s="20" t="n">
        <v>20</v>
      </c>
      <c r="I31" s="20" t="n">
        <v>0</v>
      </c>
      <c r="J31" s="20" t="n">
        <v>0</v>
      </c>
      <c r="K31" s="20" t="n">
        <v>4</v>
      </c>
      <c r="L31" s="20" t="n">
        <v>3</v>
      </c>
      <c r="M31" s="20" t="n">
        <v>7</v>
      </c>
      <c r="N31" s="20" t="n">
        <v>4</v>
      </c>
      <c r="O31" s="20" t="n">
        <v>0</v>
      </c>
      <c r="P31" s="20" t="n">
        <v>3</v>
      </c>
      <c r="Q31" s="20" t="n">
        <v>0</v>
      </c>
    </row>
    <row r="32">
      <c r="A32" s="15" t="n">
        <v>5856861</v>
      </c>
      <c r="B32" s="15" t="inlineStr">
        <is>
          <t>227</t>
        </is>
      </c>
      <c r="C32" s="15" t="inlineStr">
        <is>
          <t>B</t>
        </is>
      </c>
      <c r="D32" s="15" t="inlineStr">
        <is>
          <t>01</t>
        </is>
      </c>
      <c r="E32" s="16" t="inlineStr">
        <is>
          <t>MCU Toastmasters Club</t>
        </is>
      </c>
      <c r="F32" s="15" t="inlineStr">
        <is>
          <t>Active</t>
        </is>
      </c>
      <c r="G32" s="17" t="n">
        <v>14</v>
      </c>
      <c r="H32" s="17" t="n">
        <v>14</v>
      </c>
      <c r="I32" s="17" t="n">
        <v>2</v>
      </c>
      <c r="J32" s="17" t="n">
        <v>0</v>
      </c>
      <c r="K32" s="17" t="n">
        <v>1</v>
      </c>
      <c r="L32" s="17" t="n">
        <v>0</v>
      </c>
      <c r="M32" s="17" t="n">
        <v>1</v>
      </c>
      <c r="N32" s="17" t="n">
        <v>1</v>
      </c>
      <c r="O32" s="17" t="n">
        <v>0</v>
      </c>
      <c r="P32" s="17" t="n">
        <v>0</v>
      </c>
      <c r="Q32" s="17" t="n">
        <v>0</v>
      </c>
    </row>
    <row r="33">
      <c r="A33" s="18" t="n">
        <v>28675881</v>
      </c>
      <c r="B33" s="18" t="inlineStr">
        <is>
          <t>227</t>
        </is>
      </c>
      <c r="C33" s="18" t="inlineStr">
        <is>
          <t>B</t>
        </is>
      </c>
      <c r="D33" s="18" t="inlineStr">
        <is>
          <t>01</t>
        </is>
      </c>
      <c r="E33" s="19" t="inlineStr">
        <is>
          <t>Atkins Achievers</t>
        </is>
      </c>
      <c r="F33" s="18" t="inlineStr">
        <is>
          <t>Active</t>
        </is>
      </c>
      <c r="G33" s="20" t="n">
        <v>8</v>
      </c>
      <c r="H33" s="20" t="n">
        <v>8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</row>
    <row r="34">
      <c r="A34" s="15" t="n">
        <v>28679203</v>
      </c>
      <c r="B34" s="15" t="inlineStr">
        <is>
          <t>227</t>
        </is>
      </c>
      <c r="C34" s="15" t="inlineStr">
        <is>
          <t>B</t>
        </is>
      </c>
      <c r="D34" s="15" t="inlineStr">
        <is>
          <t>01</t>
        </is>
      </c>
      <c r="E34" s="16" t="inlineStr">
        <is>
          <t>JLL Bangalore Toastmasters Club</t>
        </is>
      </c>
      <c r="F34" s="15" t="inlineStr">
        <is>
          <t>Ineligible</t>
        </is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</row>
    <row r="35">
      <c r="A35" s="18" t="n">
        <v>9206</v>
      </c>
      <c r="B35" s="18" t="inlineStr">
        <is>
          <t>227</t>
        </is>
      </c>
      <c r="C35" s="18" t="inlineStr">
        <is>
          <t>B</t>
        </is>
      </c>
      <c r="D35" s="18" t="inlineStr">
        <is>
          <t>02</t>
        </is>
      </c>
      <c r="E35" s="19" t="inlineStr">
        <is>
          <t>BANGALORE TOASTMASTERS CLUB</t>
        </is>
      </c>
      <c r="F35" s="18" t="inlineStr">
        <is>
          <t>Active</t>
        </is>
      </c>
      <c r="G35" s="20" t="n">
        <v>72</v>
      </c>
      <c r="H35" s="20" t="n">
        <v>77</v>
      </c>
      <c r="I35" s="20" t="n">
        <v>2</v>
      </c>
      <c r="J35" s="20" t="n">
        <v>5</v>
      </c>
      <c r="K35" s="20" t="n">
        <v>32</v>
      </c>
      <c r="L35" s="20" t="n">
        <v>17</v>
      </c>
      <c r="M35" s="20" t="n">
        <v>54</v>
      </c>
      <c r="N35" s="20" t="n">
        <v>32</v>
      </c>
      <c r="O35" s="20" t="n">
        <v>0</v>
      </c>
      <c r="P35" s="20" t="n">
        <v>17</v>
      </c>
      <c r="Q35" s="20" t="n">
        <v>0</v>
      </c>
    </row>
    <row r="36">
      <c r="A36" s="15" t="n">
        <v>848580</v>
      </c>
      <c r="B36" s="15" t="inlineStr">
        <is>
          <t>227</t>
        </is>
      </c>
      <c r="C36" s="15" t="inlineStr">
        <is>
          <t>B</t>
        </is>
      </c>
      <c r="D36" s="15" t="inlineStr">
        <is>
          <t>02</t>
        </is>
      </c>
      <c r="E36" s="16" t="inlineStr">
        <is>
          <t>Smedley Speakers Society</t>
        </is>
      </c>
      <c r="F36" s="15" t="inlineStr">
        <is>
          <t>Active</t>
        </is>
      </c>
      <c r="G36" s="17" t="n">
        <v>33</v>
      </c>
      <c r="H36" s="17" t="n">
        <v>34</v>
      </c>
      <c r="I36" s="17" t="n">
        <v>0</v>
      </c>
      <c r="J36" s="17" t="n">
        <v>1</v>
      </c>
      <c r="K36" s="17" t="n">
        <v>18</v>
      </c>
      <c r="L36" s="17" t="n">
        <v>13</v>
      </c>
      <c r="M36" s="17" t="n">
        <v>32</v>
      </c>
      <c r="N36" s="17" t="n">
        <v>18</v>
      </c>
      <c r="O36" s="17" t="n">
        <v>0</v>
      </c>
      <c r="P36" s="17" t="n">
        <v>13</v>
      </c>
      <c r="Q36" s="17" t="n">
        <v>0</v>
      </c>
    </row>
    <row r="37">
      <c r="A37" s="18" t="n">
        <v>4113936</v>
      </c>
      <c r="B37" s="18" t="inlineStr">
        <is>
          <t>227</t>
        </is>
      </c>
      <c r="C37" s="18" t="inlineStr">
        <is>
          <t>B</t>
        </is>
      </c>
      <c r="D37" s="18" t="inlineStr">
        <is>
          <t>02</t>
        </is>
      </c>
      <c r="E37" s="19" t="inlineStr">
        <is>
          <t>Infinera Toastmasters</t>
        </is>
      </c>
      <c r="F37" s="18" t="inlineStr">
        <is>
          <t>Active</t>
        </is>
      </c>
      <c r="G37" s="20" t="n">
        <v>22</v>
      </c>
      <c r="H37" s="20" t="n">
        <v>22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</row>
    <row r="38">
      <c r="A38" s="15" t="n">
        <v>7738613</v>
      </c>
      <c r="B38" s="15" t="inlineStr">
        <is>
          <t>227</t>
        </is>
      </c>
      <c r="C38" s="15" t="inlineStr">
        <is>
          <t>B</t>
        </is>
      </c>
      <c r="D38" s="15" t="inlineStr">
        <is>
          <t>02</t>
        </is>
      </c>
      <c r="E38" s="16" t="inlineStr">
        <is>
          <t>NITK BHIVE Toastmasters Club</t>
        </is>
      </c>
      <c r="F38" s="15" t="inlineStr">
        <is>
          <t>Active</t>
        </is>
      </c>
      <c r="G38" s="17" t="n">
        <v>17</v>
      </c>
      <c r="H38" s="17" t="n">
        <v>17</v>
      </c>
      <c r="I38" s="17" t="n">
        <v>0</v>
      </c>
      <c r="J38" s="17" t="n">
        <v>0</v>
      </c>
      <c r="K38" s="17" t="n">
        <v>12</v>
      </c>
      <c r="L38" s="17" t="n">
        <v>9</v>
      </c>
      <c r="M38" s="17" t="n">
        <v>21</v>
      </c>
      <c r="N38" s="17" t="n">
        <v>12</v>
      </c>
      <c r="O38" s="17" t="n">
        <v>0</v>
      </c>
      <c r="P38" s="17" t="n">
        <v>9</v>
      </c>
      <c r="Q38" s="17" t="n">
        <v>0</v>
      </c>
    </row>
    <row r="39">
      <c r="A39" s="18" t="n">
        <v>28678039</v>
      </c>
      <c r="B39" s="18" t="inlineStr">
        <is>
          <t>227</t>
        </is>
      </c>
      <c r="C39" s="18" t="inlineStr">
        <is>
          <t>B</t>
        </is>
      </c>
      <c r="D39" s="18" t="inlineStr">
        <is>
          <t>02</t>
        </is>
      </c>
      <c r="E39" s="19" t="inlineStr">
        <is>
          <t>Pure Storage Toastmasters Club</t>
        </is>
      </c>
      <c r="F39" s="18" t="inlineStr">
        <is>
          <t>Ineligible</t>
        </is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</row>
    <row r="40">
      <c r="A40" s="15" t="n">
        <v>28678473</v>
      </c>
      <c r="B40" s="15" t="inlineStr">
        <is>
          <t>227</t>
        </is>
      </c>
      <c r="C40" s="15" t="inlineStr">
        <is>
          <t>B</t>
        </is>
      </c>
      <c r="D40" s="15" t="inlineStr">
        <is>
          <t>02</t>
        </is>
      </c>
      <c r="E40" s="16" t="inlineStr">
        <is>
          <t>Flexera Toastmasters</t>
        </is>
      </c>
      <c r="F40" s="15" t="inlineStr">
        <is>
          <t>Active</t>
        </is>
      </c>
      <c r="G40" s="17" t="n">
        <v>38</v>
      </c>
      <c r="H40" s="17" t="n">
        <v>38</v>
      </c>
      <c r="I40" s="17" t="n">
        <v>0</v>
      </c>
      <c r="J40" s="17" t="n">
        <v>0</v>
      </c>
      <c r="K40" s="17" t="n">
        <v>1</v>
      </c>
      <c r="L40" s="17" t="n">
        <v>0</v>
      </c>
      <c r="M40" s="17" t="n">
        <v>1</v>
      </c>
      <c r="N40" s="17" t="n">
        <v>1</v>
      </c>
      <c r="O40" s="17" t="n">
        <v>0</v>
      </c>
      <c r="P40" s="17" t="n">
        <v>0</v>
      </c>
      <c r="Q40" s="17" t="n">
        <v>0</v>
      </c>
    </row>
    <row r="41">
      <c r="A41" s="18" t="n">
        <v>9713</v>
      </c>
      <c r="B41" s="18" t="inlineStr">
        <is>
          <t>227</t>
        </is>
      </c>
      <c r="C41" s="18" t="inlineStr">
        <is>
          <t>B</t>
        </is>
      </c>
      <c r="D41" s="18" t="inlineStr">
        <is>
          <t>03</t>
        </is>
      </c>
      <c r="E41" s="19" t="inlineStr">
        <is>
          <t>Sunshine Toastmasters Club</t>
        </is>
      </c>
      <c r="F41" s="18" t="inlineStr">
        <is>
          <t>Active</t>
        </is>
      </c>
      <c r="G41" s="20" t="n">
        <v>27</v>
      </c>
      <c r="H41" s="20" t="n">
        <v>27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</row>
    <row r="42">
      <c r="A42" s="15" t="n">
        <v>1430487</v>
      </c>
      <c r="B42" s="15" t="inlineStr">
        <is>
          <t>227</t>
        </is>
      </c>
      <c r="C42" s="15" t="inlineStr">
        <is>
          <t>B</t>
        </is>
      </c>
      <c r="D42" s="15" t="inlineStr">
        <is>
          <t>03</t>
        </is>
      </c>
      <c r="E42" s="16" t="inlineStr">
        <is>
          <t>Banjara Toastmasters</t>
        </is>
      </c>
      <c r="F42" s="15" t="inlineStr">
        <is>
          <t>Active</t>
        </is>
      </c>
      <c r="G42" s="17" t="n">
        <v>25</v>
      </c>
      <c r="H42" s="17" t="n">
        <v>27</v>
      </c>
      <c r="I42" s="17" t="n">
        <v>0</v>
      </c>
      <c r="J42" s="17" t="n">
        <v>2</v>
      </c>
      <c r="K42" s="17" t="n">
        <v>0</v>
      </c>
      <c r="L42" s="17" t="n">
        <v>0</v>
      </c>
      <c r="M42" s="17" t="n">
        <v>2</v>
      </c>
      <c r="N42" s="17" t="n">
        <v>0</v>
      </c>
      <c r="O42" s="17" t="n">
        <v>0</v>
      </c>
      <c r="P42" s="17" t="n">
        <v>0</v>
      </c>
      <c r="Q42" s="17" t="n">
        <v>0</v>
      </c>
    </row>
    <row r="43">
      <c r="A43" s="18" t="n">
        <v>6601430</v>
      </c>
      <c r="B43" s="18" t="inlineStr">
        <is>
          <t>227</t>
        </is>
      </c>
      <c r="C43" s="18" t="inlineStr">
        <is>
          <t>B</t>
        </is>
      </c>
      <c r="D43" s="18" t="inlineStr">
        <is>
          <t>03</t>
        </is>
      </c>
      <c r="E43" s="19" t="inlineStr">
        <is>
          <t>ANZ Mavericks Toastmasters Club</t>
        </is>
      </c>
      <c r="F43" s="18" t="inlineStr">
        <is>
          <t>Active</t>
        </is>
      </c>
      <c r="G43" s="20" t="n">
        <v>8</v>
      </c>
      <c r="H43" s="20" t="n">
        <v>8</v>
      </c>
      <c r="I43" s="20" t="n">
        <v>1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</row>
    <row r="44">
      <c r="A44" s="15" t="n">
        <v>28675322</v>
      </c>
      <c r="B44" s="15" t="inlineStr">
        <is>
          <t>227</t>
        </is>
      </c>
      <c r="C44" s="15" t="inlineStr">
        <is>
          <t>B</t>
        </is>
      </c>
      <c r="D44" s="15" t="inlineStr">
        <is>
          <t>03</t>
        </is>
      </c>
      <c r="E44" s="16" t="inlineStr">
        <is>
          <t>BD TCI Reciter's Club</t>
        </is>
      </c>
      <c r="F44" s="15" t="inlineStr">
        <is>
          <t>Active</t>
        </is>
      </c>
      <c r="G44" s="17" t="n">
        <v>34</v>
      </c>
      <c r="H44" s="17" t="n">
        <v>34</v>
      </c>
      <c r="I44" s="17" t="n">
        <v>0</v>
      </c>
      <c r="J44" s="17" t="n">
        <v>0</v>
      </c>
      <c r="K44" s="17" t="n">
        <v>12</v>
      </c>
      <c r="L44" s="17" t="n">
        <v>11</v>
      </c>
      <c r="M44" s="17" t="n">
        <v>23</v>
      </c>
      <c r="N44" s="17" t="n">
        <v>12</v>
      </c>
      <c r="O44" s="17" t="n">
        <v>0</v>
      </c>
      <c r="P44" s="17" t="n">
        <v>11</v>
      </c>
      <c r="Q44" s="17" t="n">
        <v>0</v>
      </c>
    </row>
    <row r="45">
      <c r="A45" s="18" t="n">
        <v>28679982</v>
      </c>
      <c r="B45" s="18" t="inlineStr">
        <is>
          <t>227</t>
        </is>
      </c>
      <c r="C45" s="18" t="inlineStr">
        <is>
          <t>B</t>
        </is>
      </c>
      <c r="D45" s="18" t="inlineStr">
        <is>
          <t>03</t>
        </is>
      </c>
      <c r="E45" s="19" t="inlineStr">
        <is>
          <t>Chip n' Chirp Toastmasters</t>
        </is>
      </c>
      <c r="F45" s="18" t="inlineStr">
        <is>
          <t>Active</t>
        </is>
      </c>
      <c r="G45" s="20" t="n">
        <v>21</v>
      </c>
      <c r="H45" s="20" t="n">
        <v>21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</row>
    <row r="46">
      <c r="A46" s="15" t="n">
        <v>9015</v>
      </c>
      <c r="B46" s="15" t="inlineStr">
        <is>
          <t>227</t>
        </is>
      </c>
      <c r="C46" s="15" t="inlineStr">
        <is>
          <t>B</t>
        </is>
      </c>
      <c r="D46" s="15" t="inlineStr">
        <is>
          <t>04</t>
        </is>
      </c>
      <c r="E46" s="16" t="inlineStr">
        <is>
          <t>Garden City Toastmasters Club</t>
        </is>
      </c>
      <c r="F46" s="15" t="inlineStr">
        <is>
          <t>Active</t>
        </is>
      </c>
      <c r="G46" s="17" t="n">
        <v>8</v>
      </c>
      <c r="H46" s="17" t="n">
        <v>8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</row>
    <row r="47">
      <c r="A47" s="18" t="n">
        <v>7772645</v>
      </c>
      <c r="B47" s="18" t="inlineStr">
        <is>
          <t>227</t>
        </is>
      </c>
      <c r="C47" s="18" t="inlineStr">
        <is>
          <t>B</t>
        </is>
      </c>
      <c r="D47" s="18" t="inlineStr">
        <is>
          <t>04</t>
        </is>
      </c>
      <c r="E47" s="19" t="inlineStr">
        <is>
          <t>Namma Bengaluru Toastmasters Club</t>
        </is>
      </c>
      <c r="F47" s="18" t="inlineStr">
        <is>
          <t>Active</t>
        </is>
      </c>
      <c r="G47" s="20" t="n">
        <v>9</v>
      </c>
      <c r="H47" s="20" t="n">
        <v>9</v>
      </c>
      <c r="I47" s="20" t="n">
        <v>0</v>
      </c>
      <c r="J47" s="20" t="n">
        <v>0</v>
      </c>
      <c r="K47" s="20" t="n">
        <v>3</v>
      </c>
      <c r="L47" s="20" t="n">
        <v>1</v>
      </c>
      <c r="M47" s="20" t="n">
        <v>4</v>
      </c>
      <c r="N47" s="20" t="n">
        <v>3</v>
      </c>
      <c r="O47" s="20" t="n">
        <v>0</v>
      </c>
      <c r="P47" s="20" t="n">
        <v>1</v>
      </c>
      <c r="Q47" s="20" t="n">
        <v>0</v>
      </c>
    </row>
    <row r="48">
      <c r="A48" s="15" t="n">
        <v>7806290</v>
      </c>
      <c r="B48" s="15" t="inlineStr">
        <is>
          <t>227</t>
        </is>
      </c>
      <c r="C48" s="15" t="inlineStr">
        <is>
          <t>B</t>
        </is>
      </c>
      <c r="D48" s="15" t="inlineStr">
        <is>
          <t>04</t>
        </is>
      </c>
      <c r="E48" s="16" t="inlineStr">
        <is>
          <t>The Gabbys</t>
        </is>
      </c>
      <c r="F48" s="15" t="inlineStr">
        <is>
          <t>Active</t>
        </is>
      </c>
      <c r="G48" s="17" t="n">
        <v>25</v>
      </c>
      <c r="H48" s="17" t="n">
        <v>28</v>
      </c>
      <c r="I48" s="17" t="n">
        <v>0</v>
      </c>
      <c r="J48" s="17" t="n">
        <v>3</v>
      </c>
      <c r="K48" s="17" t="n">
        <v>0</v>
      </c>
      <c r="L48" s="17" t="n">
        <v>0</v>
      </c>
      <c r="M48" s="17" t="n">
        <v>3</v>
      </c>
      <c r="N48" s="17" t="n">
        <v>0</v>
      </c>
      <c r="O48" s="17" t="n">
        <v>0</v>
      </c>
      <c r="P48" s="17" t="n">
        <v>0</v>
      </c>
      <c r="Q48" s="17" t="n">
        <v>0</v>
      </c>
    </row>
    <row r="49">
      <c r="A49" s="18" t="n">
        <v>28676775</v>
      </c>
      <c r="B49" s="18" t="inlineStr">
        <is>
          <t>227</t>
        </is>
      </c>
      <c r="C49" s="18" t="inlineStr">
        <is>
          <t>B</t>
        </is>
      </c>
      <c r="D49" s="18" t="inlineStr">
        <is>
          <t>04</t>
        </is>
      </c>
      <c r="E49" s="19" t="inlineStr">
        <is>
          <t>WITEC Toastmasters Club</t>
        </is>
      </c>
      <c r="F49" s="18" t="inlineStr">
        <is>
          <t>Active</t>
        </is>
      </c>
      <c r="G49" s="20" t="n">
        <v>68</v>
      </c>
      <c r="H49" s="20" t="n">
        <v>68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</row>
    <row r="50">
      <c r="A50" s="15" t="n">
        <v>28678400</v>
      </c>
      <c r="B50" s="15" t="inlineStr">
        <is>
          <t>227</t>
        </is>
      </c>
      <c r="C50" s="15" t="inlineStr">
        <is>
          <t>B</t>
        </is>
      </c>
      <c r="D50" s="15" t="inlineStr">
        <is>
          <t>04</t>
        </is>
      </c>
      <c r="E50" s="16" t="inlineStr">
        <is>
          <t>Voices of Pearson Toastmasters Club</t>
        </is>
      </c>
      <c r="F50" s="15" t="inlineStr">
        <is>
          <t>Active</t>
        </is>
      </c>
      <c r="G50" s="17" t="n">
        <v>23</v>
      </c>
      <c r="H50" s="17" t="n">
        <v>23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</row>
    <row r="51">
      <c r="A51" s="18" t="n">
        <v>28679199</v>
      </c>
      <c r="B51" s="18" t="inlineStr">
        <is>
          <t>227</t>
        </is>
      </c>
      <c r="C51" s="18" t="inlineStr">
        <is>
          <t>B</t>
        </is>
      </c>
      <c r="D51" s="18" t="inlineStr">
        <is>
          <t>04</t>
        </is>
      </c>
      <c r="E51" s="19" t="inlineStr">
        <is>
          <t>360° Toastmasters Club Bengaluru</t>
        </is>
      </c>
      <c r="F51" s="18" t="inlineStr">
        <is>
          <t>Active</t>
        </is>
      </c>
      <c r="G51" s="20" t="n">
        <v>30</v>
      </c>
      <c r="H51" s="20" t="n">
        <v>32</v>
      </c>
      <c r="I51" s="20" t="n">
        <v>0</v>
      </c>
      <c r="J51" s="20" t="n">
        <v>2</v>
      </c>
      <c r="K51" s="20" t="n">
        <v>25</v>
      </c>
      <c r="L51" s="20" t="n">
        <v>25</v>
      </c>
      <c r="M51" s="20" t="n">
        <v>52</v>
      </c>
      <c r="N51" s="20" t="n">
        <v>25</v>
      </c>
      <c r="O51" s="20" t="n">
        <v>0</v>
      </c>
      <c r="P51" s="20" t="n">
        <v>25</v>
      </c>
      <c r="Q51" s="20" t="n">
        <v>0</v>
      </c>
    </row>
    <row r="52">
      <c r="A52" s="15" t="n">
        <v>631732</v>
      </c>
      <c r="B52" s="15" t="inlineStr">
        <is>
          <t>227</t>
        </is>
      </c>
      <c r="C52" s="15" t="inlineStr">
        <is>
          <t>C</t>
        </is>
      </c>
      <c r="D52" s="15" t="inlineStr">
        <is>
          <t>01</t>
        </is>
      </c>
      <c r="E52" s="16" t="inlineStr">
        <is>
          <t>Mahaveer Speakers Forum Toastmaster Club</t>
        </is>
      </c>
      <c r="F52" s="15" t="inlineStr">
        <is>
          <t>Active</t>
        </is>
      </c>
      <c r="G52" s="17" t="n">
        <v>8</v>
      </c>
      <c r="H52" s="17" t="n">
        <v>8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</row>
    <row r="53">
      <c r="A53" s="18" t="n">
        <v>632019</v>
      </c>
      <c r="B53" s="18" t="inlineStr">
        <is>
          <t>227</t>
        </is>
      </c>
      <c r="C53" s="18" t="inlineStr">
        <is>
          <t>C</t>
        </is>
      </c>
      <c r="D53" s="18" t="inlineStr">
        <is>
          <t>01</t>
        </is>
      </c>
      <c r="E53" s="19" t="inlineStr">
        <is>
          <t>Jain Speakers Forum Toastmasters Club</t>
        </is>
      </c>
      <c r="F53" s="18" t="inlineStr">
        <is>
          <t>Active</t>
        </is>
      </c>
      <c r="G53" s="20" t="n">
        <v>8</v>
      </c>
      <c r="H53" s="20" t="n">
        <v>8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</row>
    <row r="54">
      <c r="A54" s="15" t="n">
        <v>843177</v>
      </c>
      <c r="B54" s="15" t="inlineStr">
        <is>
          <t>227</t>
        </is>
      </c>
      <c r="C54" s="15" t="inlineStr">
        <is>
          <t>C</t>
        </is>
      </c>
      <c r="D54" s="15" t="inlineStr">
        <is>
          <t>01</t>
        </is>
      </c>
      <c r="E54" s="16" t="inlineStr">
        <is>
          <t>Talk Master CMS Toastmasters Club</t>
        </is>
      </c>
      <c r="F54" s="15" t="inlineStr">
        <is>
          <t>Active</t>
        </is>
      </c>
      <c r="G54" s="17" t="n">
        <v>8</v>
      </c>
      <c r="H54" s="17" t="n">
        <v>8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</row>
    <row r="55">
      <c r="A55" s="18" t="n">
        <v>843182</v>
      </c>
      <c r="B55" s="18" t="inlineStr">
        <is>
          <t>227</t>
        </is>
      </c>
      <c r="C55" s="18" t="inlineStr">
        <is>
          <t>C</t>
        </is>
      </c>
      <c r="D55" s="18" t="inlineStr">
        <is>
          <t>01</t>
        </is>
      </c>
      <c r="E55" s="19" t="inlineStr">
        <is>
          <t>Speech Master CMS Toastmasters Club</t>
        </is>
      </c>
      <c r="F55" s="18" t="inlineStr">
        <is>
          <t>Active</t>
        </is>
      </c>
      <c r="G55" s="20" t="n">
        <v>9</v>
      </c>
      <c r="H55" s="20" t="n">
        <v>9</v>
      </c>
      <c r="I55" s="20" t="n">
        <v>2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</row>
    <row r="56">
      <c r="A56" s="15" t="n">
        <v>3926170</v>
      </c>
      <c r="B56" s="15" t="inlineStr">
        <is>
          <t>227</t>
        </is>
      </c>
      <c r="C56" s="15" t="inlineStr">
        <is>
          <t>C</t>
        </is>
      </c>
      <c r="D56" s="15" t="inlineStr">
        <is>
          <t>02</t>
        </is>
      </c>
      <c r="E56" s="16" t="inlineStr">
        <is>
          <t>Textron India Toastmasters Club</t>
        </is>
      </c>
      <c r="F56" s="15" t="inlineStr">
        <is>
          <t>Active</t>
        </is>
      </c>
      <c r="G56" s="17" t="n">
        <v>37</v>
      </c>
      <c r="H56" s="17" t="n">
        <v>37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</row>
    <row r="57">
      <c r="A57" s="18" t="n">
        <v>6479232</v>
      </c>
      <c r="B57" s="18" t="inlineStr">
        <is>
          <t>227</t>
        </is>
      </c>
      <c r="C57" s="18" t="inlineStr">
        <is>
          <t>C</t>
        </is>
      </c>
      <c r="D57" s="18" t="inlineStr">
        <is>
          <t>02</t>
        </is>
      </c>
      <c r="E57" s="19" t="inlineStr">
        <is>
          <t>Mphasis Speech Crafters</t>
        </is>
      </c>
      <c r="F57" s="18" t="inlineStr">
        <is>
          <t>Active</t>
        </is>
      </c>
      <c r="G57" s="20" t="n">
        <v>30</v>
      </c>
      <c r="H57" s="20" t="n">
        <v>30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</row>
    <row r="58">
      <c r="A58" s="15" t="n">
        <v>7991317</v>
      </c>
      <c r="B58" s="15" t="inlineStr">
        <is>
          <t>227</t>
        </is>
      </c>
      <c r="C58" s="15" t="inlineStr">
        <is>
          <t>C</t>
        </is>
      </c>
      <c r="D58" s="15" t="inlineStr">
        <is>
          <t>02</t>
        </is>
      </c>
      <c r="E58" s="16" t="inlineStr">
        <is>
          <t>Eloquence Elixir Toastmasters</t>
        </is>
      </c>
      <c r="F58" s="15" t="inlineStr">
        <is>
          <t>Active</t>
        </is>
      </c>
      <c r="G58" s="17" t="n">
        <v>16</v>
      </c>
      <c r="H58" s="17" t="n">
        <v>18</v>
      </c>
      <c r="I58" s="17" t="n">
        <v>0</v>
      </c>
      <c r="J58" s="17" t="n">
        <v>2</v>
      </c>
      <c r="K58" s="17" t="n">
        <v>9</v>
      </c>
      <c r="L58" s="17" t="n">
        <v>8</v>
      </c>
      <c r="M58" s="17" t="n">
        <v>19</v>
      </c>
      <c r="N58" s="17" t="n">
        <v>9</v>
      </c>
      <c r="O58" s="17" t="n">
        <v>0</v>
      </c>
      <c r="P58" s="17" t="n">
        <v>8</v>
      </c>
      <c r="Q58" s="17" t="n">
        <v>0</v>
      </c>
    </row>
    <row r="59">
      <c r="A59" s="18" t="n">
        <v>28676363</v>
      </c>
      <c r="B59" s="18" t="inlineStr">
        <is>
          <t>227</t>
        </is>
      </c>
      <c r="C59" s="18" t="inlineStr">
        <is>
          <t>C</t>
        </is>
      </c>
      <c r="D59" s="18" t="inlineStr">
        <is>
          <t>02</t>
        </is>
      </c>
      <c r="E59" s="19" t="inlineStr">
        <is>
          <t>Nagarabhavi Toastmasters Club</t>
        </is>
      </c>
      <c r="F59" s="18" t="inlineStr">
        <is>
          <t>Active</t>
        </is>
      </c>
      <c r="G59" s="20" t="n">
        <v>10</v>
      </c>
      <c r="H59" s="20" t="n">
        <v>13</v>
      </c>
      <c r="I59" s="20" t="n">
        <v>0</v>
      </c>
      <c r="J59" s="20" t="n">
        <v>3</v>
      </c>
      <c r="K59" s="20" t="n">
        <v>2</v>
      </c>
      <c r="L59" s="20" t="n">
        <v>2</v>
      </c>
      <c r="M59" s="20" t="n">
        <v>7</v>
      </c>
      <c r="N59" s="20" t="n">
        <v>2</v>
      </c>
      <c r="O59" s="20" t="n">
        <v>0</v>
      </c>
      <c r="P59" s="20" t="n">
        <v>2</v>
      </c>
      <c r="Q59" s="20" t="n">
        <v>0</v>
      </c>
    </row>
    <row r="60">
      <c r="A60" s="15" t="n">
        <v>28677190</v>
      </c>
      <c r="B60" s="15" t="inlineStr">
        <is>
          <t>227</t>
        </is>
      </c>
      <c r="C60" s="15" t="inlineStr">
        <is>
          <t>C</t>
        </is>
      </c>
      <c r="D60" s="15" t="inlineStr">
        <is>
          <t>02</t>
        </is>
      </c>
      <c r="E60" s="16" t="inlineStr">
        <is>
          <t>Christ Kengeri Club</t>
        </is>
      </c>
      <c r="F60" s="15" t="inlineStr">
        <is>
          <t>Active</t>
        </is>
      </c>
      <c r="G60" s="17" t="n">
        <v>13</v>
      </c>
      <c r="H60" s="17" t="n">
        <v>13</v>
      </c>
      <c r="I60" s="17" t="n">
        <v>0</v>
      </c>
      <c r="J60" s="17" t="n">
        <v>0</v>
      </c>
      <c r="K60" s="17" t="n">
        <v>2</v>
      </c>
      <c r="L60" s="17" t="n">
        <v>0</v>
      </c>
      <c r="M60" s="17" t="n">
        <v>2</v>
      </c>
      <c r="N60" s="17" t="n">
        <v>2</v>
      </c>
      <c r="O60" s="17" t="n">
        <v>0</v>
      </c>
      <c r="P60" s="17" t="n">
        <v>0</v>
      </c>
      <c r="Q60" s="17" t="n">
        <v>0</v>
      </c>
    </row>
    <row r="61">
      <c r="A61" s="18" t="n">
        <v>3793772</v>
      </c>
      <c r="B61" s="18" t="inlineStr">
        <is>
          <t>227</t>
        </is>
      </c>
      <c r="C61" s="18" t="inlineStr">
        <is>
          <t>C</t>
        </is>
      </c>
      <c r="D61" s="18" t="inlineStr">
        <is>
          <t>03</t>
        </is>
      </c>
      <c r="E61" s="19" t="inlineStr">
        <is>
          <t>Utthishta Toastmasters</t>
        </is>
      </c>
      <c r="F61" s="18" t="inlineStr">
        <is>
          <t>Active</t>
        </is>
      </c>
      <c r="G61" s="20" t="n">
        <v>55</v>
      </c>
      <c r="H61" s="20" t="n">
        <v>55</v>
      </c>
      <c r="I61" s="20" t="n">
        <v>0</v>
      </c>
      <c r="J61" s="20" t="n">
        <v>0</v>
      </c>
      <c r="K61" s="20" t="n">
        <v>25</v>
      </c>
      <c r="L61" s="20" t="n">
        <v>13</v>
      </c>
      <c r="M61" s="20" t="n">
        <v>38</v>
      </c>
      <c r="N61" s="20" t="n">
        <v>25</v>
      </c>
      <c r="O61" s="20" t="n">
        <v>0</v>
      </c>
      <c r="P61" s="20" t="n">
        <v>13</v>
      </c>
      <c r="Q61" s="20" t="n">
        <v>0</v>
      </c>
    </row>
    <row r="62">
      <c r="A62" s="15" t="n">
        <v>6714857</v>
      </c>
      <c r="B62" s="15" t="inlineStr">
        <is>
          <t>227</t>
        </is>
      </c>
      <c r="C62" s="15" t="inlineStr">
        <is>
          <t>C</t>
        </is>
      </c>
      <c r="D62" s="15" t="inlineStr">
        <is>
          <t>03</t>
        </is>
      </c>
      <c r="E62" s="16" t="inlineStr">
        <is>
          <t>Galaxy Toastmasters Club</t>
        </is>
      </c>
      <c r="F62" s="15" t="inlineStr">
        <is>
          <t>Active</t>
        </is>
      </c>
      <c r="G62" s="17" t="n">
        <v>33</v>
      </c>
      <c r="H62" s="17" t="n">
        <v>34</v>
      </c>
      <c r="I62" s="17" t="n">
        <v>2</v>
      </c>
      <c r="J62" s="17" t="n">
        <v>1</v>
      </c>
      <c r="K62" s="17" t="n">
        <v>8</v>
      </c>
      <c r="L62" s="17" t="n">
        <v>4</v>
      </c>
      <c r="M62" s="17" t="n">
        <v>13</v>
      </c>
      <c r="N62" s="17" t="n">
        <v>8</v>
      </c>
      <c r="O62" s="17" t="n">
        <v>0</v>
      </c>
      <c r="P62" s="17" t="n">
        <v>4</v>
      </c>
      <c r="Q62" s="17" t="n">
        <v>0</v>
      </c>
    </row>
    <row r="63">
      <c r="A63" s="18" t="n">
        <v>7915396</v>
      </c>
      <c r="B63" s="18" t="inlineStr">
        <is>
          <t>227</t>
        </is>
      </c>
      <c r="C63" s="18" t="inlineStr">
        <is>
          <t>C</t>
        </is>
      </c>
      <c r="D63" s="18" t="inlineStr">
        <is>
          <t>03</t>
        </is>
      </c>
      <c r="E63" s="19" t="inlineStr">
        <is>
          <t>Rajajinagar Toastmasters Club</t>
        </is>
      </c>
      <c r="F63" s="18" t="inlineStr">
        <is>
          <t>Active</t>
        </is>
      </c>
      <c r="G63" s="20" t="n">
        <v>9</v>
      </c>
      <c r="H63" s="20" t="n">
        <v>9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0</v>
      </c>
    </row>
    <row r="64">
      <c r="A64" s="15" t="n">
        <v>28677268</v>
      </c>
      <c r="B64" s="15" t="inlineStr">
        <is>
          <t>227</t>
        </is>
      </c>
      <c r="C64" s="15" t="inlineStr">
        <is>
          <t>C</t>
        </is>
      </c>
      <c r="D64" s="15" t="inlineStr">
        <is>
          <t>03</t>
        </is>
      </c>
      <c r="E64" s="16" t="inlineStr">
        <is>
          <t>ABBS Toastmasters Club</t>
        </is>
      </c>
      <c r="F64" s="15" t="inlineStr">
        <is>
          <t>Active</t>
        </is>
      </c>
      <c r="G64" s="17" t="n">
        <v>17</v>
      </c>
      <c r="H64" s="17" t="n">
        <v>17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</row>
    <row r="65">
      <c r="A65" s="18" t="n">
        <v>28678948</v>
      </c>
      <c r="B65" s="18" t="inlineStr">
        <is>
          <t>227</t>
        </is>
      </c>
      <c r="C65" s="18" t="inlineStr">
        <is>
          <t>C</t>
        </is>
      </c>
      <c r="D65" s="18" t="inlineStr">
        <is>
          <t>03</t>
        </is>
      </c>
      <c r="E65" s="19" t="inlineStr">
        <is>
          <t>Conversation Catalysts Bangalore</t>
        </is>
      </c>
      <c r="F65" s="18" t="inlineStr">
        <is>
          <t>Active</t>
        </is>
      </c>
      <c r="G65" s="20" t="n">
        <v>35</v>
      </c>
      <c r="H65" s="20" t="n">
        <v>35</v>
      </c>
      <c r="I65" s="20" t="n">
        <v>0</v>
      </c>
      <c r="J65" s="20" t="n">
        <v>0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</row>
    <row r="66">
      <c r="A66" s="15" t="n">
        <v>1389390</v>
      </c>
      <c r="B66" s="15" t="inlineStr">
        <is>
          <t>227</t>
        </is>
      </c>
      <c r="C66" s="15" t="inlineStr">
        <is>
          <t>C</t>
        </is>
      </c>
      <c r="D66" s="15" t="inlineStr">
        <is>
          <t>04</t>
        </is>
      </c>
      <c r="E66" s="16" t="inlineStr">
        <is>
          <t>IIMB Orators Club</t>
        </is>
      </c>
      <c r="F66" s="15" t="inlineStr">
        <is>
          <t>Active</t>
        </is>
      </c>
      <c r="G66" s="17" t="n">
        <v>59</v>
      </c>
      <c r="H66" s="17" t="n">
        <v>61</v>
      </c>
      <c r="I66" s="17" t="n">
        <v>1</v>
      </c>
      <c r="J66" s="17" t="n">
        <v>2</v>
      </c>
      <c r="K66" s="17" t="n">
        <v>53</v>
      </c>
      <c r="L66" s="17" t="n">
        <v>38</v>
      </c>
      <c r="M66" s="17" t="n">
        <v>93</v>
      </c>
      <c r="N66" s="17" t="n">
        <v>53</v>
      </c>
      <c r="O66" s="17" t="n">
        <v>0</v>
      </c>
      <c r="P66" s="17" t="n">
        <v>38</v>
      </c>
      <c r="Q66" s="17" t="n">
        <v>0</v>
      </c>
    </row>
    <row r="67">
      <c r="A67" s="18" t="n">
        <v>3859695</v>
      </c>
      <c r="B67" s="18" t="inlineStr">
        <is>
          <t>227</t>
        </is>
      </c>
      <c r="C67" s="18" t="inlineStr">
        <is>
          <t>C</t>
        </is>
      </c>
      <c r="D67" s="18" t="inlineStr">
        <is>
          <t>04</t>
        </is>
      </c>
      <c r="E67" s="19" t="inlineStr">
        <is>
          <t>IBC Titans Toastmasters Club</t>
        </is>
      </c>
      <c r="F67" s="18" t="inlineStr">
        <is>
          <t>Active</t>
        </is>
      </c>
      <c r="G67" s="20" t="n">
        <v>9</v>
      </c>
      <c r="H67" s="20" t="n">
        <v>9</v>
      </c>
      <c r="I67" s="20" t="n">
        <v>0</v>
      </c>
      <c r="J67" s="20" t="n">
        <v>0</v>
      </c>
      <c r="K67" s="20" t="n">
        <v>1</v>
      </c>
      <c r="L67" s="20" t="n">
        <v>0</v>
      </c>
      <c r="M67" s="20" t="n">
        <v>1</v>
      </c>
      <c r="N67" s="20" t="n">
        <v>1</v>
      </c>
      <c r="O67" s="20" t="n">
        <v>0</v>
      </c>
      <c r="P67" s="20" t="n">
        <v>0</v>
      </c>
      <c r="Q67" s="20" t="n">
        <v>0</v>
      </c>
    </row>
    <row r="68">
      <c r="A68" s="15" t="n">
        <v>7514725</v>
      </c>
      <c r="B68" s="15" t="inlineStr">
        <is>
          <t>227</t>
        </is>
      </c>
      <c r="C68" s="15" t="inlineStr">
        <is>
          <t>C</t>
        </is>
      </c>
      <c r="D68" s="15" t="inlineStr">
        <is>
          <t>04</t>
        </is>
      </c>
      <c r="E68" s="16" t="inlineStr">
        <is>
          <t>LKQI Toastmasters Club</t>
        </is>
      </c>
      <c r="F68" s="15" t="inlineStr">
        <is>
          <t>Active</t>
        </is>
      </c>
      <c r="G68" s="17" t="n">
        <v>9</v>
      </c>
      <c r="H68" s="17" t="n">
        <v>11</v>
      </c>
      <c r="I68" s="17" t="n">
        <v>0</v>
      </c>
      <c r="J68" s="17" t="n">
        <v>2</v>
      </c>
      <c r="K68" s="17" t="n">
        <v>0</v>
      </c>
      <c r="L68" s="17" t="n">
        <v>0</v>
      </c>
      <c r="M68" s="17" t="n">
        <v>2</v>
      </c>
      <c r="N68" s="17" t="n">
        <v>0</v>
      </c>
      <c r="O68" s="17" t="n">
        <v>0</v>
      </c>
      <c r="P68" s="17" t="n">
        <v>0</v>
      </c>
      <c r="Q68" s="17" t="n">
        <v>0</v>
      </c>
    </row>
    <row r="69">
      <c r="A69" s="18" t="n">
        <v>28678224</v>
      </c>
      <c r="B69" s="18" t="inlineStr">
        <is>
          <t>227</t>
        </is>
      </c>
      <c r="C69" s="18" t="inlineStr">
        <is>
          <t>C</t>
        </is>
      </c>
      <c r="D69" s="18" t="inlineStr">
        <is>
          <t>04</t>
        </is>
      </c>
      <c r="E69" s="19" t="inlineStr">
        <is>
          <t>elevaTE Toastmasters Club</t>
        </is>
      </c>
      <c r="F69" s="18" t="inlineStr">
        <is>
          <t>Active</t>
        </is>
      </c>
      <c r="G69" s="20" t="n">
        <v>37</v>
      </c>
      <c r="H69" s="20" t="n">
        <v>37</v>
      </c>
      <c r="I69" s="20" t="n">
        <v>0</v>
      </c>
      <c r="J69" s="20" t="n">
        <v>0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</row>
    <row r="70">
      <c r="A70" s="15" t="n">
        <v>28679581</v>
      </c>
      <c r="B70" s="15" t="inlineStr">
        <is>
          <t>227</t>
        </is>
      </c>
      <c r="C70" s="15" t="inlineStr">
        <is>
          <t>C</t>
        </is>
      </c>
      <c r="D70" s="15" t="inlineStr">
        <is>
          <t>04</t>
        </is>
      </c>
      <c r="E70" s="16" t="inlineStr">
        <is>
          <t>Movius Toastmasters Club</t>
        </is>
      </c>
      <c r="F70" s="15" t="inlineStr">
        <is>
          <t>Active</t>
        </is>
      </c>
      <c r="G70" s="17" t="n">
        <v>24</v>
      </c>
      <c r="H70" s="17" t="n">
        <v>24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</row>
    <row r="71">
      <c r="A71" s="18" t="n">
        <v>2188958</v>
      </c>
      <c r="B71" s="18" t="inlineStr">
        <is>
          <t>227</t>
        </is>
      </c>
      <c r="C71" s="18" t="inlineStr">
        <is>
          <t>D</t>
        </is>
      </c>
      <c r="D71" s="18" t="inlineStr">
        <is>
          <t>01</t>
        </is>
      </c>
      <c r="E71" s="19" t="inlineStr">
        <is>
          <t>Koramangala Toastmasters Club</t>
        </is>
      </c>
      <c r="F71" s="18" t="inlineStr">
        <is>
          <t>Active</t>
        </is>
      </c>
      <c r="G71" s="20" t="n">
        <v>46</v>
      </c>
      <c r="H71" s="20" t="n">
        <v>48</v>
      </c>
      <c r="I71" s="20" t="n">
        <v>0</v>
      </c>
      <c r="J71" s="20" t="n">
        <v>2</v>
      </c>
      <c r="K71" s="20" t="n">
        <v>20</v>
      </c>
      <c r="L71" s="20" t="n">
        <v>11</v>
      </c>
      <c r="M71" s="20" t="n">
        <v>33</v>
      </c>
      <c r="N71" s="20" t="n">
        <v>20</v>
      </c>
      <c r="O71" s="20" t="n">
        <v>0</v>
      </c>
      <c r="P71" s="20" t="n">
        <v>11</v>
      </c>
      <c r="Q71" s="20" t="n">
        <v>0</v>
      </c>
    </row>
    <row r="72">
      <c r="A72" s="15" t="n">
        <v>5868577</v>
      </c>
      <c r="B72" s="15" t="inlineStr">
        <is>
          <t>227</t>
        </is>
      </c>
      <c r="C72" s="15" t="inlineStr">
        <is>
          <t>D</t>
        </is>
      </c>
      <c r="D72" s="15" t="inlineStr">
        <is>
          <t>01</t>
        </is>
      </c>
      <c r="E72" s="16" t="inlineStr">
        <is>
          <t>Bosch Raconteurs</t>
        </is>
      </c>
      <c r="F72" s="15" t="inlineStr">
        <is>
          <t>Active</t>
        </is>
      </c>
      <c r="G72" s="17" t="n">
        <v>26</v>
      </c>
      <c r="H72" s="17" t="n">
        <v>26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</row>
    <row r="73">
      <c r="A73" s="18" t="n">
        <v>28676014</v>
      </c>
      <c r="B73" s="18" t="inlineStr">
        <is>
          <t>227</t>
        </is>
      </c>
      <c r="C73" s="18" t="inlineStr">
        <is>
          <t>D</t>
        </is>
      </c>
      <c r="D73" s="18" t="inlineStr">
        <is>
          <t>01</t>
        </is>
      </c>
      <c r="E73" s="19" t="inlineStr">
        <is>
          <t>Autodesk Toastmasters Club</t>
        </is>
      </c>
      <c r="F73" s="18" t="inlineStr">
        <is>
          <t>Active</t>
        </is>
      </c>
      <c r="G73" s="20" t="n">
        <v>83</v>
      </c>
      <c r="H73" s="20" t="n">
        <v>83</v>
      </c>
      <c r="I73" s="20" t="n">
        <v>0</v>
      </c>
      <c r="J73" s="20" t="n">
        <v>0</v>
      </c>
      <c r="K73" s="20" t="n">
        <v>4</v>
      </c>
      <c r="L73" s="20" t="n">
        <v>1</v>
      </c>
      <c r="M73" s="20" t="n">
        <v>5</v>
      </c>
      <c r="N73" s="20" t="n">
        <v>4</v>
      </c>
      <c r="O73" s="20" t="n">
        <v>0</v>
      </c>
      <c r="P73" s="20" t="n">
        <v>1</v>
      </c>
      <c r="Q73" s="20" t="n">
        <v>0</v>
      </c>
    </row>
    <row r="74">
      <c r="A74" s="15" t="n">
        <v>28676901</v>
      </c>
      <c r="B74" s="15" t="inlineStr">
        <is>
          <t>227</t>
        </is>
      </c>
      <c r="C74" s="15" t="inlineStr">
        <is>
          <t>D</t>
        </is>
      </c>
      <c r="D74" s="15" t="inlineStr">
        <is>
          <t>01</t>
        </is>
      </c>
      <c r="E74" s="16" t="inlineStr">
        <is>
          <t>Accenture Toasters</t>
        </is>
      </c>
      <c r="F74" s="15" t="inlineStr">
        <is>
          <t>Active</t>
        </is>
      </c>
      <c r="G74" s="17" t="n">
        <v>32</v>
      </c>
      <c r="H74" s="17" t="n">
        <v>32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</row>
    <row r="75">
      <c r="A75" s="18" t="n">
        <v>28678701</v>
      </c>
      <c r="B75" s="18" t="inlineStr">
        <is>
          <t>227</t>
        </is>
      </c>
      <c r="C75" s="18" t="inlineStr">
        <is>
          <t>D</t>
        </is>
      </c>
      <c r="D75" s="18" t="inlineStr">
        <is>
          <t>01</t>
        </is>
      </c>
      <c r="E75" s="19" t="inlineStr">
        <is>
          <t>Tavant Speakers Club</t>
        </is>
      </c>
      <c r="F75" s="18" t="inlineStr">
        <is>
          <t>Active</t>
        </is>
      </c>
      <c r="G75" s="20" t="n">
        <v>20</v>
      </c>
      <c r="H75" s="20" t="n">
        <v>20</v>
      </c>
      <c r="I75" s="20" t="n">
        <v>0</v>
      </c>
      <c r="J75" s="20" t="n">
        <v>0</v>
      </c>
      <c r="K75" s="20" t="n">
        <v>0</v>
      </c>
      <c r="L75" s="20" t="n">
        <v>0</v>
      </c>
      <c r="M75" s="20" t="n">
        <v>0</v>
      </c>
      <c r="N75" s="20" t="n">
        <v>0</v>
      </c>
      <c r="O75" s="20" t="n">
        <v>0</v>
      </c>
      <c r="P75" s="20" t="n">
        <v>0</v>
      </c>
      <c r="Q75" s="20" t="n">
        <v>0</v>
      </c>
    </row>
    <row r="76">
      <c r="A76" s="15" t="n">
        <v>9639</v>
      </c>
      <c r="B76" s="15" t="inlineStr">
        <is>
          <t>227</t>
        </is>
      </c>
      <c r="C76" s="15" t="inlineStr">
        <is>
          <t>D</t>
        </is>
      </c>
      <c r="D76" s="15" t="inlineStr">
        <is>
          <t>02</t>
        </is>
      </c>
      <c r="E76" s="16" t="inlineStr">
        <is>
          <t>Mecon Communication Club</t>
        </is>
      </c>
      <c r="F76" s="15" t="inlineStr">
        <is>
          <t>Active</t>
        </is>
      </c>
      <c r="G76" s="17" t="n">
        <v>39</v>
      </c>
      <c r="H76" s="17" t="n">
        <v>45</v>
      </c>
      <c r="I76" s="17" t="n">
        <v>2</v>
      </c>
      <c r="J76" s="17" t="n">
        <v>6</v>
      </c>
      <c r="K76" s="17" t="n">
        <v>18</v>
      </c>
      <c r="L76" s="17" t="n">
        <v>13</v>
      </c>
      <c r="M76" s="17" t="n">
        <v>37</v>
      </c>
      <c r="N76" s="17" t="n">
        <v>18</v>
      </c>
      <c r="O76" s="17" t="n">
        <v>0</v>
      </c>
      <c r="P76" s="17" t="n">
        <v>13</v>
      </c>
      <c r="Q76" s="17" t="n">
        <v>0</v>
      </c>
    </row>
    <row r="77">
      <c r="A77" s="18" t="n">
        <v>4329635</v>
      </c>
      <c r="B77" s="18" t="inlineStr">
        <is>
          <t>227</t>
        </is>
      </c>
      <c r="C77" s="18" t="inlineStr">
        <is>
          <t>D</t>
        </is>
      </c>
      <c r="D77" s="18" t="inlineStr">
        <is>
          <t>02</t>
        </is>
      </c>
      <c r="E77" s="19" t="inlineStr">
        <is>
          <t>Tarento India Toastmasters Club</t>
        </is>
      </c>
      <c r="F77" s="18" t="inlineStr">
        <is>
          <t>Active</t>
        </is>
      </c>
      <c r="G77" s="20" t="n">
        <v>17</v>
      </c>
      <c r="H77" s="20" t="n">
        <v>17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</v>
      </c>
    </row>
    <row r="78">
      <c r="A78" s="15" t="n">
        <v>7734175</v>
      </c>
      <c r="B78" s="15" t="inlineStr">
        <is>
          <t>227</t>
        </is>
      </c>
      <c r="C78" s="15" t="inlineStr">
        <is>
          <t>D</t>
        </is>
      </c>
      <c r="D78" s="15" t="inlineStr">
        <is>
          <t>02</t>
        </is>
      </c>
      <c r="E78" s="16" t="inlineStr">
        <is>
          <t>Republic of Toastmasters</t>
        </is>
      </c>
      <c r="F78" s="15" t="inlineStr">
        <is>
          <t>Active</t>
        </is>
      </c>
      <c r="G78" s="17" t="n">
        <v>20</v>
      </c>
      <c r="H78" s="17" t="n">
        <v>22</v>
      </c>
      <c r="I78" s="17" t="n">
        <v>1</v>
      </c>
      <c r="J78" s="17" t="n">
        <v>2</v>
      </c>
      <c r="K78" s="17" t="n">
        <v>0</v>
      </c>
      <c r="L78" s="17" t="n">
        <v>0</v>
      </c>
      <c r="M78" s="17" t="n">
        <v>2</v>
      </c>
      <c r="N78" s="17" t="n">
        <v>0</v>
      </c>
      <c r="O78" s="17" t="n">
        <v>0</v>
      </c>
      <c r="P78" s="17" t="n">
        <v>0</v>
      </c>
      <c r="Q78" s="17" t="n">
        <v>0</v>
      </c>
    </row>
    <row r="79">
      <c r="A79" s="18" t="n">
        <v>28676900</v>
      </c>
      <c r="B79" s="18" t="inlineStr">
        <is>
          <t>227</t>
        </is>
      </c>
      <c r="C79" s="18" t="inlineStr">
        <is>
          <t>D</t>
        </is>
      </c>
      <c r="D79" s="18" t="inlineStr">
        <is>
          <t>02</t>
        </is>
      </c>
      <c r="E79" s="19" t="inlineStr">
        <is>
          <t>Acuity Toastmasters Open Mic</t>
        </is>
      </c>
      <c r="F79" s="18" t="inlineStr">
        <is>
          <t>Active</t>
        </is>
      </c>
      <c r="G79" s="20" t="n">
        <v>31</v>
      </c>
      <c r="H79" s="20" t="n">
        <v>31</v>
      </c>
      <c r="I79" s="20" t="n">
        <v>1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</row>
    <row r="80">
      <c r="A80" s="15" t="n">
        <v>28677046</v>
      </c>
      <c r="B80" s="15" t="inlineStr">
        <is>
          <t>227</t>
        </is>
      </c>
      <c r="C80" s="15" t="inlineStr">
        <is>
          <t>D</t>
        </is>
      </c>
      <c r="D80" s="15" t="inlineStr">
        <is>
          <t>02</t>
        </is>
      </c>
      <c r="E80" s="16" t="inlineStr">
        <is>
          <t>Bosch Adugodi</t>
        </is>
      </c>
      <c r="F80" s="15" t="inlineStr">
        <is>
          <t>Active</t>
        </is>
      </c>
      <c r="G80" s="17" t="n">
        <v>18</v>
      </c>
      <c r="H80" s="17" t="n">
        <v>18</v>
      </c>
      <c r="I80" s="17" t="n">
        <v>0</v>
      </c>
      <c r="J80" s="17" t="n">
        <v>0</v>
      </c>
      <c r="K80" s="17" t="n">
        <v>4</v>
      </c>
      <c r="L80" s="17" t="n">
        <v>2</v>
      </c>
      <c r="M80" s="17" t="n">
        <v>6</v>
      </c>
      <c r="N80" s="17" t="n">
        <v>4</v>
      </c>
      <c r="O80" s="17" t="n">
        <v>0</v>
      </c>
      <c r="P80" s="17" t="n">
        <v>2</v>
      </c>
      <c r="Q80" s="17" t="n">
        <v>0</v>
      </c>
    </row>
    <row r="81">
      <c r="A81" s="18" t="n">
        <v>28678720</v>
      </c>
      <c r="B81" s="18" t="inlineStr">
        <is>
          <t>227</t>
        </is>
      </c>
      <c r="C81" s="18" t="inlineStr">
        <is>
          <t>D</t>
        </is>
      </c>
      <c r="D81" s="18" t="inlineStr">
        <is>
          <t>02</t>
        </is>
      </c>
      <c r="E81" s="19" t="inlineStr">
        <is>
          <t>Acharyas Speaking Forum</t>
        </is>
      </c>
      <c r="F81" s="18" t="inlineStr">
        <is>
          <t>Ineligible</t>
        </is>
      </c>
      <c r="G81" s="20" t="n">
        <v>0</v>
      </c>
      <c r="H81" s="20" t="n">
        <v>0</v>
      </c>
      <c r="I81" s="20" t="n">
        <v>0</v>
      </c>
      <c r="J81" s="20" t="n">
        <v>0</v>
      </c>
      <c r="K81" s="20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</v>
      </c>
    </row>
    <row r="82">
      <c r="A82" s="15" t="n">
        <v>28678997</v>
      </c>
      <c r="B82" s="15" t="inlineStr">
        <is>
          <t>227</t>
        </is>
      </c>
      <c r="C82" s="15" t="inlineStr">
        <is>
          <t>D</t>
        </is>
      </c>
      <c r="D82" s="15" t="inlineStr">
        <is>
          <t>02</t>
        </is>
      </c>
      <c r="E82" s="16" t="inlineStr">
        <is>
          <t>Paychex Catalyst Crew 2</t>
        </is>
      </c>
      <c r="F82" s="15" t="inlineStr">
        <is>
          <t>Ineligible</t>
        </is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</row>
    <row r="83">
      <c r="A83" s="18" t="n">
        <v>5412566</v>
      </c>
      <c r="B83" s="18" t="inlineStr">
        <is>
          <t>227</t>
        </is>
      </c>
      <c r="C83" s="18" t="inlineStr">
        <is>
          <t>D</t>
        </is>
      </c>
      <c r="D83" s="18" t="inlineStr">
        <is>
          <t>03</t>
        </is>
      </c>
      <c r="E83" s="19" t="inlineStr">
        <is>
          <t>RIPPLERS</t>
        </is>
      </c>
      <c r="F83" s="18" t="inlineStr">
        <is>
          <t>Active</t>
        </is>
      </c>
      <c r="G83" s="20" t="n">
        <v>35</v>
      </c>
      <c r="H83" s="20" t="n">
        <v>35</v>
      </c>
      <c r="I83" s="20" t="n">
        <v>0</v>
      </c>
      <c r="J83" s="20" t="n">
        <v>0</v>
      </c>
      <c r="K83" s="20" t="n">
        <v>1</v>
      </c>
      <c r="L83" s="20" t="n">
        <v>0</v>
      </c>
      <c r="M83" s="20" t="n">
        <v>1</v>
      </c>
      <c r="N83" s="20" t="n">
        <v>1</v>
      </c>
      <c r="O83" s="20" t="n">
        <v>0</v>
      </c>
      <c r="P83" s="20" t="n">
        <v>0</v>
      </c>
      <c r="Q83" s="20" t="n">
        <v>0</v>
      </c>
    </row>
    <row r="84">
      <c r="A84" s="15" t="n">
        <v>6427472</v>
      </c>
      <c r="B84" s="15" t="inlineStr">
        <is>
          <t>227</t>
        </is>
      </c>
      <c r="C84" s="15" t="inlineStr">
        <is>
          <t>D</t>
        </is>
      </c>
      <c r="D84" s="15" t="inlineStr">
        <is>
          <t>03</t>
        </is>
      </c>
      <c r="E84" s="16" t="inlineStr">
        <is>
          <t>Lead India Speakers Club</t>
        </is>
      </c>
      <c r="F84" s="15" t="inlineStr">
        <is>
          <t>Active</t>
        </is>
      </c>
      <c r="G84" s="17" t="n">
        <v>22</v>
      </c>
      <c r="H84" s="17" t="n">
        <v>23</v>
      </c>
      <c r="I84" s="17" t="n">
        <v>0</v>
      </c>
      <c r="J84" s="17" t="n">
        <v>1</v>
      </c>
      <c r="K84" s="17" t="n">
        <v>6</v>
      </c>
      <c r="L84" s="17" t="n">
        <v>2</v>
      </c>
      <c r="M84" s="17" t="n">
        <v>9</v>
      </c>
      <c r="N84" s="17" t="n">
        <v>6</v>
      </c>
      <c r="O84" s="17" t="n">
        <v>0</v>
      </c>
      <c r="P84" s="17" t="n">
        <v>2</v>
      </c>
      <c r="Q84" s="17" t="n">
        <v>0</v>
      </c>
    </row>
    <row r="85">
      <c r="A85" s="18" t="n">
        <v>7460211</v>
      </c>
      <c r="B85" s="18" t="inlineStr">
        <is>
          <t>227</t>
        </is>
      </c>
      <c r="C85" s="18" t="inlineStr">
        <is>
          <t>D</t>
        </is>
      </c>
      <c r="D85" s="18" t="inlineStr">
        <is>
          <t>03</t>
        </is>
      </c>
      <c r="E85" s="19" t="inlineStr">
        <is>
          <t>WeSpeak Toastmasters Club</t>
        </is>
      </c>
      <c r="F85" s="18" t="inlineStr">
        <is>
          <t>Active</t>
        </is>
      </c>
      <c r="G85" s="20" t="n">
        <v>25</v>
      </c>
      <c r="H85" s="20" t="n">
        <v>26</v>
      </c>
      <c r="I85" s="20" t="n">
        <v>1</v>
      </c>
      <c r="J85" s="20" t="n">
        <v>1</v>
      </c>
      <c r="K85" s="20" t="n">
        <v>6</v>
      </c>
      <c r="L85" s="20" t="n">
        <v>6</v>
      </c>
      <c r="M85" s="20" t="n">
        <v>13</v>
      </c>
      <c r="N85" s="20" t="n">
        <v>6</v>
      </c>
      <c r="O85" s="20" t="n">
        <v>0</v>
      </c>
      <c r="P85" s="20" t="n">
        <v>6</v>
      </c>
      <c r="Q85" s="20" t="n">
        <v>0</v>
      </c>
    </row>
    <row r="86">
      <c r="A86" s="15" t="n">
        <v>28675492</v>
      </c>
      <c r="B86" s="15" t="inlineStr">
        <is>
          <t>227</t>
        </is>
      </c>
      <c r="C86" s="15" t="inlineStr">
        <is>
          <t>D</t>
        </is>
      </c>
      <c r="D86" s="15" t="inlineStr">
        <is>
          <t>03</t>
        </is>
      </c>
      <c r="E86" s="16" t="inlineStr">
        <is>
          <t>Professional Orators and Leaders TM Club</t>
        </is>
      </c>
      <c r="F86" s="15" t="inlineStr">
        <is>
          <t>Active</t>
        </is>
      </c>
      <c r="G86" s="17" t="n">
        <v>25</v>
      </c>
      <c r="H86" s="17" t="n">
        <v>25</v>
      </c>
      <c r="I86" s="17" t="n">
        <v>0</v>
      </c>
      <c r="J86" s="17" t="n">
        <v>0</v>
      </c>
      <c r="K86" s="17" t="n">
        <v>12</v>
      </c>
      <c r="L86" s="17" t="n">
        <v>3</v>
      </c>
      <c r="M86" s="17" t="n">
        <v>15</v>
      </c>
      <c r="N86" s="17" t="n">
        <v>12</v>
      </c>
      <c r="O86" s="17" t="n">
        <v>0</v>
      </c>
      <c r="P86" s="17" t="n">
        <v>3</v>
      </c>
      <c r="Q86" s="17" t="n">
        <v>0</v>
      </c>
    </row>
    <row r="87">
      <c r="A87" s="18" t="n">
        <v>28678373</v>
      </c>
      <c r="B87" s="18" t="inlineStr">
        <is>
          <t>227</t>
        </is>
      </c>
      <c r="C87" s="18" t="inlineStr">
        <is>
          <t>D</t>
        </is>
      </c>
      <c r="D87" s="18" t="inlineStr">
        <is>
          <t>03</t>
        </is>
      </c>
      <c r="E87" s="19" t="inlineStr">
        <is>
          <t>Sense-say-tional Toastmasters</t>
        </is>
      </c>
      <c r="F87" s="18" t="inlineStr">
        <is>
          <t>Low</t>
        </is>
      </c>
      <c r="G87" s="20" t="n">
        <v>6</v>
      </c>
      <c r="H87" s="20" t="n">
        <v>6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</row>
    <row r="88">
      <c r="A88" s="15" t="n">
        <v>547</v>
      </c>
      <c r="B88" s="15" t="inlineStr">
        <is>
          <t>227</t>
        </is>
      </c>
      <c r="C88" s="15" t="inlineStr">
        <is>
          <t>D</t>
        </is>
      </c>
      <c r="D88" s="15" t="inlineStr">
        <is>
          <t>04</t>
        </is>
      </c>
      <c r="E88" s="16" t="inlineStr">
        <is>
          <t>deejays Toastmasters</t>
        </is>
      </c>
      <c r="F88" s="15" t="inlineStr">
        <is>
          <t>Active</t>
        </is>
      </c>
      <c r="G88" s="17" t="n">
        <v>10</v>
      </c>
      <c r="H88" s="17" t="n">
        <v>12</v>
      </c>
      <c r="I88" s="17" t="n">
        <v>0</v>
      </c>
      <c r="J88" s="17" t="n">
        <v>2</v>
      </c>
      <c r="K88" s="17" t="n">
        <v>8</v>
      </c>
      <c r="L88" s="17" t="n">
        <v>6</v>
      </c>
      <c r="M88" s="17" t="n">
        <v>16</v>
      </c>
      <c r="N88" s="17" t="n">
        <v>8</v>
      </c>
      <c r="O88" s="17" t="n">
        <v>0</v>
      </c>
      <c r="P88" s="17" t="n">
        <v>6</v>
      </c>
      <c r="Q88" s="17" t="n">
        <v>0</v>
      </c>
    </row>
    <row r="89">
      <c r="A89" s="18" t="n">
        <v>4410336</v>
      </c>
      <c r="B89" s="18" t="inlineStr">
        <is>
          <t>227</t>
        </is>
      </c>
      <c r="C89" s="18" t="inlineStr">
        <is>
          <t>D</t>
        </is>
      </c>
      <c r="D89" s="18" t="inlineStr">
        <is>
          <t>04</t>
        </is>
      </c>
      <c r="E89" s="19" t="inlineStr">
        <is>
          <t>Dhwani Toastmasters</t>
        </is>
      </c>
      <c r="F89" s="18" t="inlineStr">
        <is>
          <t>Active</t>
        </is>
      </c>
      <c r="G89" s="20" t="n">
        <v>33</v>
      </c>
      <c r="H89" s="20" t="n">
        <v>34</v>
      </c>
      <c r="I89" s="20" t="n">
        <v>0</v>
      </c>
      <c r="J89" s="20" t="n">
        <v>1</v>
      </c>
      <c r="K89" s="20" t="n">
        <v>9</v>
      </c>
      <c r="L89" s="20" t="n">
        <v>6</v>
      </c>
      <c r="M89" s="20" t="n">
        <v>16</v>
      </c>
      <c r="N89" s="20" t="n">
        <v>9</v>
      </c>
      <c r="O89" s="20" t="n">
        <v>0</v>
      </c>
      <c r="P89" s="20" t="n">
        <v>6</v>
      </c>
      <c r="Q89" s="20" t="n">
        <v>0</v>
      </c>
    </row>
    <row r="90">
      <c r="A90" s="15" t="n">
        <v>7502654</v>
      </c>
      <c r="B90" s="15" t="inlineStr">
        <is>
          <t>227</t>
        </is>
      </c>
      <c r="C90" s="15" t="inlineStr">
        <is>
          <t>D</t>
        </is>
      </c>
      <c r="D90" s="15" t="inlineStr">
        <is>
          <t>04</t>
        </is>
      </c>
      <c r="E90" s="16" t="inlineStr">
        <is>
          <t>Transcend Toastmasters Club</t>
        </is>
      </c>
      <c r="F90" s="15" t="inlineStr">
        <is>
          <t>Active</t>
        </is>
      </c>
      <c r="G90" s="17" t="n">
        <v>23</v>
      </c>
      <c r="H90" s="17" t="n">
        <v>23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</row>
    <row r="91">
      <c r="A91" s="18" t="n">
        <v>7856506</v>
      </c>
      <c r="B91" s="18" t="inlineStr">
        <is>
          <t>227</t>
        </is>
      </c>
      <c r="C91" s="18" t="inlineStr">
        <is>
          <t>D</t>
        </is>
      </c>
      <c r="D91" s="18" t="inlineStr">
        <is>
          <t>04</t>
        </is>
      </c>
      <c r="E91" s="19" t="inlineStr">
        <is>
          <t>Transcend Toastmasters Club - 2</t>
        </is>
      </c>
      <c r="F91" s="18" t="inlineStr">
        <is>
          <t>Active</t>
        </is>
      </c>
      <c r="G91" s="20" t="n">
        <v>23</v>
      </c>
      <c r="H91" s="20" t="n">
        <v>23</v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>
        <v>0</v>
      </c>
    </row>
    <row r="92">
      <c r="A92" s="15" t="n">
        <v>7962666</v>
      </c>
      <c r="B92" s="15" t="inlineStr">
        <is>
          <t>227</t>
        </is>
      </c>
      <c r="C92" s="15" t="inlineStr">
        <is>
          <t>D</t>
        </is>
      </c>
      <c r="D92" s="15" t="inlineStr">
        <is>
          <t>04</t>
        </is>
      </c>
      <c r="E92" s="16" t="inlineStr">
        <is>
          <t>Transcend Toastmasters Club 3</t>
        </is>
      </c>
      <c r="F92" s="15" t="inlineStr">
        <is>
          <t>Active</t>
        </is>
      </c>
      <c r="G92" s="17" t="n">
        <v>21</v>
      </c>
      <c r="H92" s="17" t="n">
        <v>21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</row>
    <row r="93">
      <c r="A93" s="18" t="n">
        <v>4304110</v>
      </c>
      <c r="B93" s="18" t="inlineStr">
        <is>
          <t>227</t>
        </is>
      </c>
      <c r="C93" s="18" t="inlineStr">
        <is>
          <t>E</t>
        </is>
      </c>
      <c r="D93" s="18" t="inlineStr">
        <is>
          <t>01</t>
        </is>
      </c>
      <c r="E93" s="19" t="inlineStr">
        <is>
          <t>Siemens Bangalore Toastmasters Club</t>
        </is>
      </c>
      <c r="F93" s="18" t="inlineStr">
        <is>
          <t>Active</t>
        </is>
      </c>
      <c r="G93" s="20" t="n">
        <v>23</v>
      </c>
      <c r="H93" s="20" t="n">
        <v>24</v>
      </c>
      <c r="I93" s="20" t="n">
        <v>0</v>
      </c>
      <c r="J93" s="20" t="n">
        <v>1</v>
      </c>
      <c r="K93" s="20" t="n">
        <v>0</v>
      </c>
      <c r="L93" s="20" t="n">
        <v>0</v>
      </c>
      <c r="M93" s="20" t="n">
        <v>1</v>
      </c>
      <c r="N93" s="20" t="n">
        <v>0</v>
      </c>
      <c r="O93" s="20" t="n">
        <v>0</v>
      </c>
      <c r="P93" s="20" t="n">
        <v>0</v>
      </c>
      <c r="Q93" s="20" t="n">
        <v>0</v>
      </c>
    </row>
    <row r="94">
      <c r="A94" s="15" t="n">
        <v>4958536</v>
      </c>
      <c r="B94" s="15" t="inlineStr">
        <is>
          <t>227</t>
        </is>
      </c>
      <c r="C94" s="15" t="inlineStr">
        <is>
          <t>E</t>
        </is>
      </c>
      <c r="D94" s="15" t="inlineStr">
        <is>
          <t>01</t>
        </is>
      </c>
      <c r="E94" s="16" t="inlineStr">
        <is>
          <t>DB Bangalore Toastmasters Club</t>
        </is>
      </c>
      <c r="F94" s="15" t="inlineStr">
        <is>
          <t>Active</t>
        </is>
      </c>
      <c r="G94" s="17" t="n">
        <v>8</v>
      </c>
      <c r="H94" s="17" t="n">
        <v>9</v>
      </c>
      <c r="I94" s="17" t="n">
        <v>0</v>
      </c>
      <c r="J94" s="17" t="n">
        <v>1</v>
      </c>
      <c r="K94" s="17" t="n">
        <v>0</v>
      </c>
      <c r="L94" s="17" t="n">
        <v>0</v>
      </c>
      <c r="M94" s="17" t="n">
        <v>1</v>
      </c>
      <c r="N94" s="17" t="n">
        <v>0</v>
      </c>
      <c r="O94" s="17" t="n">
        <v>0</v>
      </c>
      <c r="P94" s="17" t="n">
        <v>0</v>
      </c>
      <c r="Q94" s="17" t="n">
        <v>0</v>
      </c>
    </row>
    <row r="95">
      <c r="A95" s="18" t="n">
        <v>5185978</v>
      </c>
      <c r="B95" s="18" t="inlineStr">
        <is>
          <t>227</t>
        </is>
      </c>
      <c r="C95" s="18" t="inlineStr">
        <is>
          <t>E</t>
        </is>
      </c>
      <c r="D95" s="18" t="inlineStr">
        <is>
          <t>01</t>
        </is>
      </c>
      <c r="E95" s="19" t="inlineStr">
        <is>
          <t>Electronics City Toastmasters Club</t>
        </is>
      </c>
      <c r="F95" s="18" t="inlineStr">
        <is>
          <t>Active</t>
        </is>
      </c>
      <c r="G95" s="20" t="n">
        <v>44</v>
      </c>
      <c r="H95" s="20" t="n">
        <v>45</v>
      </c>
      <c r="I95" s="20" t="n">
        <v>0</v>
      </c>
      <c r="J95" s="20" t="n">
        <v>1</v>
      </c>
      <c r="K95" s="20" t="n">
        <v>31</v>
      </c>
      <c r="L95" s="20" t="n">
        <v>7</v>
      </c>
      <c r="M95" s="20" t="n">
        <v>39</v>
      </c>
      <c r="N95" s="20" t="n">
        <v>31</v>
      </c>
      <c r="O95" s="20" t="n">
        <v>0</v>
      </c>
      <c r="P95" s="20" t="n">
        <v>7</v>
      </c>
      <c r="Q95" s="20" t="n">
        <v>0</v>
      </c>
    </row>
    <row r="96">
      <c r="A96" s="15" t="n">
        <v>28677529</v>
      </c>
      <c r="B96" s="15" t="inlineStr">
        <is>
          <t>227</t>
        </is>
      </c>
      <c r="C96" s="15" t="inlineStr">
        <is>
          <t>E</t>
        </is>
      </c>
      <c r="D96" s="15" t="inlineStr">
        <is>
          <t>01</t>
        </is>
      </c>
      <c r="E96" s="16" t="inlineStr">
        <is>
          <t>HPE Element Toastmasters</t>
        </is>
      </c>
      <c r="F96" s="15" t="inlineStr">
        <is>
          <t>Active</t>
        </is>
      </c>
      <c r="G96" s="17" t="n">
        <v>45</v>
      </c>
      <c r="H96" s="17" t="n">
        <v>45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</row>
    <row r="97">
      <c r="A97" s="18" t="n">
        <v>28679397</v>
      </c>
      <c r="B97" s="18" t="inlineStr">
        <is>
          <t>227</t>
        </is>
      </c>
      <c r="C97" s="18" t="inlineStr">
        <is>
          <t>E</t>
        </is>
      </c>
      <c r="D97" s="18" t="inlineStr">
        <is>
          <t>01</t>
        </is>
      </c>
      <c r="E97" s="19" t="inlineStr">
        <is>
          <t>TechM Bengaluru Toastmasters Club</t>
        </is>
      </c>
      <c r="F97" s="18" t="inlineStr">
        <is>
          <t>Active</t>
        </is>
      </c>
      <c r="G97" s="20" t="n">
        <v>9</v>
      </c>
      <c r="H97" s="20" t="n">
        <v>9</v>
      </c>
      <c r="I97" s="20" t="n">
        <v>1</v>
      </c>
      <c r="J97" s="20" t="n">
        <v>0</v>
      </c>
      <c r="K97" s="20" t="n">
        <v>1</v>
      </c>
      <c r="L97" s="20" t="n">
        <v>0</v>
      </c>
      <c r="M97" s="20" t="n">
        <v>1</v>
      </c>
      <c r="N97" s="20" t="n">
        <v>1</v>
      </c>
      <c r="O97" s="20" t="n">
        <v>0</v>
      </c>
      <c r="P97" s="20" t="n">
        <v>0</v>
      </c>
      <c r="Q97" s="20" t="n">
        <v>0</v>
      </c>
    </row>
    <row r="98">
      <c r="A98" s="15" t="n">
        <v>3674956</v>
      </c>
      <c r="B98" s="15" t="inlineStr">
        <is>
          <t>227</t>
        </is>
      </c>
      <c r="C98" s="15" t="inlineStr">
        <is>
          <t>E</t>
        </is>
      </c>
      <c r="D98" s="15" t="inlineStr">
        <is>
          <t>02</t>
        </is>
      </c>
      <c r="E98" s="16" t="inlineStr">
        <is>
          <t>CGI Elite Speakers Forum</t>
        </is>
      </c>
      <c r="F98" s="15" t="inlineStr">
        <is>
          <t>Active</t>
        </is>
      </c>
      <c r="G98" s="17" t="n">
        <v>20</v>
      </c>
      <c r="H98" s="17" t="n">
        <v>20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</row>
    <row r="99">
      <c r="A99" s="18" t="n">
        <v>6975394</v>
      </c>
      <c r="B99" s="18" t="inlineStr">
        <is>
          <t>227</t>
        </is>
      </c>
      <c r="C99" s="18" t="inlineStr">
        <is>
          <t>E</t>
        </is>
      </c>
      <c r="D99" s="18" t="inlineStr">
        <is>
          <t>02</t>
        </is>
      </c>
      <c r="E99" s="19" t="inlineStr">
        <is>
          <t>Toastmasters of HP</t>
        </is>
      </c>
      <c r="F99" s="18" t="inlineStr">
        <is>
          <t>Active</t>
        </is>
      </c>
      <c r="G99" s="20" t="n">
        <v>28</v>
      </c>
      <c r="H99" s="20" t="n">
        <v>28</v>
      </c>
      <c r="I99" s="20" t="n">
        <v>0</v>
      </c>
      <c r="J99" s="20" t="n">
        <v>0</v>
      </c>
      <c r="K99" s="20" t="n">
        <v>3</v>
      </c>
      <c r="L99" s="20" t="n">
        <v>2</v>
      </c>
      <c r="M99" s="20" t="n">
        <v>5</v>
      </c>
      <c r="N99" s="20" t="n">
        <v>3</v>
      </c>
      <c r="O99" s="20" t="n">
        <v>0</v>
      </c>
      <c r="P99" s="20" t="n">
        <v>2</v>
      </c>
      <c r="Q99" s="20" t="n">
        <v>0</v>
      </c>
    </row>
    <row r="100">
      <c r="A100" s="15" t="n">
        <v>7641558</v>
      </c>
      <c r="B100" s="15" t="inlineStr">
        <is>
          <t>227</t>
        </is>
      </c>
      <c r="C100" s="15" t="inlineStr">
        <is>
          <t>E</t>
        </is>
      </c>
      <c r="D100" s="15" t="inlineStr">
        <is>
          <t>02</t>
        </is>
      </c>
      <c r="E100" s="16" t="inlineStr">
        <is>
          <t>Toast and Tales Toastmasters Club</t>
        </is>
      </c>
      <c r="F100" s="15" t="inlineStr">
        <is>
          <t>Active</t>
        </is>
      </c>
      <c r="G100" s="17" t="n">
        <v>26</v>
      </c>
      <c r="H100" s="17" t="n">
        <v>26</v>
      </c>
      <c r="I100" s="17" t="n">
        <v>0</v>
      </c>
      <c r="J100" s="17" t="n">
        <v>0</v>
      </c>
      <c r="K100" s="17" t="n">
        <v>14</v>
      </c>
      <c r="L100" s="17" t="n">
        <v>8</v>
      </c>
      <c r="M100" s="17" t="n">
        <v>22</v>
      </c>
      <c r="N100" s="17" t="n">
        <v>14</v>
      </c>
      <c r="O100" s="17" t="n">
        <v>0</v>
      </c>
      <c r="P100" s="17" t="n">
        <v>8</v>
      </c>
      <c r="Q100" s="17" t="n">
        <v>0</v>
      </c>
    </row>
    <row r="101">
      <c r="A101" s="18" t="n">
        <v>28677664</v>
      </c>
      <c r="B101" s="18" t="inlineStr">
        <is>
          <t>227</t>
        </is>
      </c>
      <c r="C101" s="18" t="inlineStr">
        <is>
          <t>E</t>
        </is>
      </c>
      <c r="D101" s="18" t="inlineStr">
        <is>
          <t>02</t>
        </is>
      </c>
      <c r="E101" s="19" t="inlineStr">
        <is>
          <t>Tessolve Toastmasters Club</t>
        </is>
      </c>
      <c r="F101" s="18" t="inlineStr">
        <is>
          <t>Active</t>
        </is>
      </c>
      <c r="G101" s="20" t="n">
        <v>12</v>
      </c>
      <c r="H101" s="20" t="n">
        <v>12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0</v>
      </c>
      <c r="N101" s="20" t="n">
        <v>0</v>
      </c>
      <c r="O101" s="20" t="n">
        <v>0</v>
      </c>
      <c r="P101" s="20" t="n">
        <v>0</v>
      </c>
      <c r="Q101" s="20" t="n">
        <v>0</v>
      </c>
    </row>
    <row r="102">
      <c r="A102" s="15" t="n">
        <v>7908984</v>
      </c>
      <c r="B102" s="15" t="inlineStr">
        <is>
          <t>227</t>
        </is>
      </c>
      <c r="C102" s="15" t="inlineStr">
        <is>
          <t>E</t>
        </is>
      </c>
      <c r="D102" s="15" t="inlineStr">
        <is>
          <t>03</t>
        </is>
      </c>
      <c r="E102" s="16" t="inlineStr">
        <is>
          <t>RCB Griffin</t>
        </is>
      </c>
      <c r="F102" s="15" t="inlineStr">
        <is>
          <t>Active</t>
        </is>
      </c>
      <c r="G102" s="17" t="n">
        <v>25</v>
      </c>
      <c r="H102" s="17" t="n">
        <v>25</v>
      </c>
      <c r="I102" s="17" t="n">
        <v>2</v>
      </c>
      <c r="J102" s="17" t="n">
        <v>0</v>
      </c>
      <c r="K102" s="17" t="n">
        <v>22</v>
      </c>
      <c r="L102" s="17" t="n">
        <v>11</v>
      </c>
      <c r="M102" s="17" t="n">
        <v>33</v>
      </c>
      <c r="N102" s="17" t="n">
        <v>22</v>
      </c>
      <c r="O102" s="17" t="n">
        <v>0</v>
      </c>
      <c r="P102" s="17" t="n">
        <v>11</v>
      </c>
      <c r="Q102" s="17" t="n">
        <v>0</v>
      </c>
    </row>
    <row r="103">
      <c r="A103" s="18" t="n">
        <v>7908988</v>
      </c>
      <c r="B103" s="18" t="inlineStr">
        <is>
          <t>227</t>
        </is>
      </c>
      <c r="C103" s="18" t="inlineStr">
        <is>
          <t>E</t>
        </is>
      </c>
      <c r="D103" s="18" t="inlineStr">
        <is>
          <t>03</t>
        </is>
      </c>
      <c r="E103" s="19" t="inlineStr">
        <is>
          <t>RCB Pegasus</t>
        </is>
      </c>
      <c r="F103" s="18" t="inlineStr">
        <is>
          <t>Active</t>
        </is>
      </c>
      <c r="G103" s="20" t="n">
        <v>25</v>
      </c>
      <c r="H103" s="20" t="n">
        <v>25</v>
      </c>
      <c r="I103" s="20" t="n">
        <v>0</v>
      </c>
      <c r="J103" s="20" t="n">
        <v>0</v>
      </c>
      <c r="K103" s="20" t="n">
        <v>21</v>
      </c>
      <c r="L103" s="20" t="n">
        <v>10</v>
      </c>
      <c r="M103" s="20" t="n">
        <v>31</v>
      </c>
      <c r="N103" s="20" t="n">
        <v>21</v>
      </c>
      <c r="O103" s="20" t="n">
        <v>0</v>
      </c>
      <c r="P103" s="20" t="n">
        <v>10</v>
      </c>
      <c r="Q103" s="20" t="n">
        <v>0</v>
      </c>
    </row>
    <row r="104">
      <c r="A104" s="15" t="n">
        <v>7908991</v>
      </c>
      <c r="B104" s="15" t="inlineStr">
        <is>
          <t>227</t>
        </is>
      </c>
      <c r="C104" s="15" t="inlineStr">
        <is>
          <t>E</t>
        </is>
      </c>
      <c r="D104" s="15" t="inlineStr">
        <is>
          <t>03</t>
        </is>
      </c>
      <c r="E104" s="16" t="inlineStr">
        <is>
          <t>RCB Phoenix</t>
        </is>
      </c>
      <c r="F104" s="15" t="inlineStr">
        <is>
          <t>Active</t>
        </is>
      </c>
      <c r="G104" s="17" t="n">
        <v>8</v>
      </c>
      <c r="H104" s="17" t="n">
        <v>8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</row>
    <row r="105">
      <c r="A105" s="18" t="n">
        <v>28677107</v>
      </c>
      <c r="B105" s="18" t="inlineStr">
        <is>
          <t>227</t>
        </is>
      </c>
      <c r="C105" s="18" t="inlineStr">
        <is>
          <t>E</t>
        </is>
      </c>
      <c r="D105" s="18" t="inlineStr">
        <is>
          <t>03</t>
        </is>
      </c>
      <c r="E105" s="19" t="inlineStr">
        <is>
          <t>Ascent Toastmasters Club</t>
        </is>
      </c>
      <c r="F105" s="18" t="inlineStr">
        <is>
          <t>Active</t>
        </is>
      </c>
      <c r="G105" s="20" t="n">
        <v>11</v>
      </c>
      <c r="H105" s="20" t="n">
        <v>11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</row>
    <row r="106">
      <c r="A106" s="15" t="n">
        <v>28678026</v>
      </c>
      <c r="B106" s="15" t="inlineStr">
        <is>
          <t>227</t>
        </is>
      </c>
      <c r="C106" s="15" t="inlineStr">
        <is>
          <t>E</t>
        </is>
      </c>
      <c r="D106" s="15" t="inlineStr">
        <is>
          <t>03</t>
        </is>
      </c>
      <c r="E106" s="16" t="inlineStr">
        <is>
          <t>Brighthearts Toastmasters</t>
        </is>
      </c>
      <c r="F106" s="15" t="inlineStr">
        <is>
          <t>Active</t>
        </is>
      </c>
      <c r="G106" s="17" t="n">
        <v>41</v>
      </c>
      <c r="H106" s="17" t="n">
        <v>42</v>
      </c>
      <c r="I106" s="17" t="n">
        <v>2</v>
      </c>
      <c r="J106" s="17" t="n">
        <v>1</v>
      </c>
      <c r="K106" s="17" t="n">
        <v>33</v>
      </c>
      <c r="L106" s="17" t="n">
        <v>0</v>
      </c>
      <c r="M106" s="17" t="n">
        <v>34</v>
      </c>
      <c r="N106" s="17" t="n">
        <v>33</v>
      </c>
      <c r="O106" s="17" t="n">
        <v>0</v>
      </c>
      <c r="P106" s="17" t="n">
        <v>0</v>
      </c>
      <c r="Q106" s="17" t="n">
        <v>0</v>
      </c>
    </row>
    <row r="107">
      <c r="A107" s="18" t="n">
        <v>28678996</v>
      </c>
      <c r="B107" s="18" t="inlineStr">
        <is>
          <t>227</t>
        </is>
      </c>
      <c r="C107" s="18" t="inlineStr">
        <is>
          <t>E</t>
        </is>
      </c>
      <c r="D107" s="18" t="inlineStr">
        <is>
          <t>03</t>
        </is>
      </c>
      <c r="E107" s="19" t="inlineStr">
        <is>
          <t>Paychex Catalyst Crew 1</t>
        </is>
      </c>
      <c r="F107" s="18" t="inlineStr">
        <is>
          <t>Ineligible</t>
        </is>
      </c>
      <c r="G107" s="20" t="n">
        <v>0</v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0" t="n">
        <v>0</v>
      </c>
    </row>
    <row r="108">
      <c r="A108" s="15" t="n">
        <v>9688</v>
      </c>
      <c r="B108" s="15" t="inlineStr">
        <is>
          <t>227</t>
        </is>
      </c>
      <c r="C108" s="15" t="inlineStr">
        <is>
          <t>E</t>
        </is>
      </c>
      <c r="D108" s="15" t="inlineStr">
        <is>
          <t>04</t>
        </is>
      </c>
      <c r="E108" s="16" t="inlineStr">
        <is>
          <t>Infosys Toastmasters, Bangalore</t>
        </is>
      </c>
      <c r="F108" s="15" t="inlineStr">
        <is>
          <t>Active</t>
        </is>
      </c>
      <c r="G108" s="17" t="n">
        <v>25</v>
      </c>
      <c r="H108" s="17" t="n">
        <v>28</v>
      </c>
      <c r="I108" s="17" t="n">
        <v>0</v>
      </c>
      <c r="J108" s="17" t="n">
        <v>3</v>
      </c>
      <c r="K108" s="17" t="n">
        <v>11</v>
      </c>
      <c r="L108" s="17" t="n">
        <v>11</v>
      </c>
      <c r="M108" s="17" t="n">
        <v>25</v>
      </c>
      <c r="N108" s="17" t="n">
        <v>11</v>
      </c>
      <c r="O108" s="17" t="n">
        <v>0</v>
      </c>
      <c r="P108" s="17" t="n">
        <v>11</v>
      </c>
      <c r="Q108" s="17" t="n">
        <v>0</v>
      </c>
    </row>
    <row r="109">
      <c r="A109" s="18" t="n">
        <v>5843852</v>
      </c>
      <c r="B109" s="18" t="inlineStr">
        <is>
          <t>227</t>
        </is>
      </c>
      <c r="C109" s="18" t="inlineStr">
        <is>
          <t>E</t>
        </is>
      </c>
      <c r="D109" s="18" t="inlineStr">
        <is>
          <t>04</t>
        </is>
      </c>
      <c r="E109" s="19" t="inlineStr">
        <is>
          <t>HSR Toastmasters Club</t>
        </is>
      </c>
      <c r="F109" s="18" t="inlineStr">
        <is>
          <t>Active</t>
        </is>
      </c>
      <c r="G109" s="20" t="n">
        <v>48</v>
      </c>
      <c r="H109" s="20" t="n">
        <v>50</v>
      </c>
      <c r="I109" s="20" t="n">
        <v>0</v>
      </c>
      <c r="J109" s="20" t="n">
        <v>2</v>
      </c>
      <c r="K109" s="20" t="n">
        <v>21</v>
      </c>
      <c r="L109" s="20" t="n">
        <v>1</v>
      </c>
      <c r="M109" s="20" t="n">
        <v>24</v>
      </c>
      <c r="N109" s="20" t="n">
        <v>21</v>
      </c>
      <c r="O109" s="20" t="n">
        <v>0</v>
      </c>
      <c r="P109" s="20" t="n">
        <v>1</v>
      </c>
      <c r="Q109" s="20" t="n">
        <v>0</v>
      </c>
    </row>
    <row r="110">
      <c r="A110" s="15" t="n">
        <v>7586759</v>
      </c>
      <c r="B110" s="15" t="inlineStr">
        <is>
          <t>227</t>
        </is>
      </c>
      <c r="C110" s="15" t="inlineStr">
        <is>
          <t>E</t>
        </is>
      </c>
      <c r="D110" s="15" t="inlineStr">
        <is>
          <t>04</t>
        </is>
      </c>
      <c r="E110" s="16" t="inlineStr">
        <is>
          <t>MOOG Flyers</t>
        </is>
      </c>
      <c r="F110" s="15" t="inlineStr">
        <is>
          <t>Active</t>
        </is>
      </c>
      <c r="G110" s="17" t="n">
        <v>29</v>
      </c>
      <c r="H110" s="17" t="n">
        <v>29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</row>
    <row r="111">
      <c r="A111" s="18" t="n">
        <v>7959873</v>
      </c>
      <c r="B111" s="18" t="inlineStr">
        <is>
          <t>227</t>
        </is>
      </c>
      <c r="C111" s="18" t="inlineStr">
        <is>
          <t>E</t>
        </is>
      </c>
      <c r="D111" s="18" t="inlineStr">
        <is>
          <t>04</t>
        </is>
      </c>
      <c r="E111" s="19" t="inlineStr">
        <is>
          <t>Wipro House of Speakers</t>
        </is>
      </c>
      <c r="F111" s="18" t="inlineStr">
        <is>
          <t>Active</t>
        </is>
      </c>
      <c r="G111" s="20" t="n">
        <v>11</v>
      </c>
      <c r="H111" s="20" t="n">
        <v>12</v>
      </c>
      <c r="I111" s="20" t="n">
        <v>0</v>
      </c>
      <c r="J111" s="20" t="n">
        <v>1</v>
      </c>
      <c r="K111" s="20" t="n">
        <v>0</v>
      </c>
      <c r="L111" s="20" t="n">
        <v>0</v>
      </c>
      <c r="M111" s="20" t="n">
        <v>1</v>
      </c>
      <c r="N111" s="20" t="n">
        <v>0</v>
      </c>
      <c r="O111" s="20" t="n">
        <v>0</v>
      </c>
      <c r="P111" s="20" t="n">
        <v>0</v>
      </c>
      <c r="Q111" s="20" t="n">
        <v>0</v>
      </c>
    </row>
    <row r="112">
      <c r="A112" s="15" t="n">
        <v>28675609</v>
      </c>
      <c r="B112" s="15" t="inlineStr">
        <is>
          <t>227</t>
        </is>
      </c>
      <c r="C112" s="15" t="inlineStr">
        <is>
          <t>E</t>
        </is>
      </c>
      <c r="D112" s="15" t="inlineStr">
        <is>
          <t>04</t>
        </is>
      </c>
      <c r="E112" s="16" t="inlineStr">
        <is>
          <t>Greenage Toastmasters Club</t>
        </is>
      </c>
      <c r="F112" s="15" t="inlineStr">
        <is>
          <t>Active</t>
        </is>
      </c>
      <c r="G112" s="17" t="n">
        <v>24</v>
      </c>
      <c r="H112" s="17" t="n">
        <v>24</v>
      </c>
      <c r="I112" s="17" t="n">
        <v>0</v>
      </c>
      <c r="J112" s="17" t="n">
        <v>0</v>
      </c>
      <c r="K112" s="17" t="n">
        <v>13</v>
      </c>
      <c r="L112" s="17" t="n">
        <v>11</v>
      </c>
      <c r="M112" s="17" t="n">
        <v>24</v>
      </c>
      <c r="N112" s="17" t="n">
        <v>13</v>
      </c>
      <c r="O112" s="17" t="n">
        <v>0</v>
      </c>
      <c r="P112" s="17" t="n">
        <v>11</v>
      </c>
      <c r="Q112" s="17" t="n">
        <v>0</v>
      </c>
    </row>
    <row r="113">
      <c r="A113" s="18" t="n">
        <v>4184180</v>
      </c>
      <c r="B113" s="18" t="inlineStr">
        <is>
          <t>227</t>
        </is>
      </c>
      <c r="C113" s="18" t="inlineStr">
        <is>
          <t>F</t>
        </is>
      </c>
      <c r="D113" s="18" t="inlineStr">
        <is>
          <t>01</t>
        </is>
      </c>
      <c r="E113" s="19" t="inlineStr">
        <is>
          <t>Deshpande Educational Trust Toastmasters Club</t>
        </is>
      </c>
      <c r="F113" s="18" t="inlineStr">
        <is>
          <t>Active</t>
        </is>
      </c>
      <c r="G113" s="20" t="n">
        <v>25</v>
      </c>
      <c r="H113" s="20" t="n">
        <v>25</v>
      </c>
      <c r="I113" s="20" t="n">
        <v>0</v>
      </c>
      <c r="J113" s="20" t="n">
        <v>0</v>
      </c>
      <c r="K113" s="20" t="n">
        <v>1</v>
      </c>
      <c r="L113" s="20" t="n">
        <v>0</v>
      </c>
      <c r="M113" s="20" t="n">
        <v>1</v>
      </c>
      <c r="N113" s="20" t="n">
        <v>1</v>
      </c>
      <c r="O113" s="20" t="n">
        <v>0</v>
      </c>
      <c r="P113" s="20" t="n">
        <v>0</v>
      </c>
      <c r="Q113" s="20" t="n">
        <v>0</v>
      </c>
    </row>
    <row r="114">
      <c r="A114" s="15" t="n">
        <v>6988591</v>
      </c>
      <c r="B114" s="15" t="inlineStr">
        <is>
          <t>227</t>
        </is>
      </c>
      <c r="C114" s="15" t="inlineStr">
        <is>
          <t>F</t>
        </is>
      </c>
      <c r="D114" s="15" t="inlineStr">
        <is>
          <t>01</t>
        </is>
      </c>
      <c r="E114" s="16" t="inlineStr">
        <is>
          <t>SDMCET Toastmasters Club</t>
        </is>
      </c>
      <c r="F114" s="15" t="inlineStr">
        <is>
          <t>Active</t>
        </is>
      </c>
      <c r="G114" s="17" t="n">
        <v>15</v>
      </c>
      <c r="H114" s="17" t="n">
        <v>15</v>
      </c>
      <c r="I114" s="17" t="n">
        <v>0</v>
      </c>
      <c r="J114" s="17" t="n">
        <v>0</v>
      </c>
      <c r="K114" s="17" t="n">
        <v>1</v>
      </c>
      <c r="L114" s="17" t="n">
        <v>0</v>
      </c>
      <c r="M114" s="17" t="n">
        <v>1</v>
      </c>
      <c r="N114" s="17" t="n">
        <v>1</v>
      </c>
      <c r="O114" s="17" t="n">
        <v>0</v>
      </c>
      <c r="P114" s="17" t="n">
        <v>0</v>
      </c>
      <c r="Q114" s="17" t="n">
        <v>0</v>
      </c>
    </row>
    <row r="115">
      <c r="A115" s="18" t="n">
        <v>7712481</v>
      </c>
      <c r="B115" s="18" t="inlineStr">
        <is>
          <t>227</t>
        </is>
      </c>
      <c r="C115" s="18" t="inlineStr">
        <is>
          <t>F</t>
        </is>
      </c>
      <c r="D115" s="18" t="inlineStr">
        <is>
          <t>01</t>
        </is>
      </c>
      <c r="E115" s="19" t="inlineStr">
        <is>
          <t>Toastmasters For Hubballi Entrepreneurs</t>
        </is>
      </c>
      <c r="F115" s="18" t="inlineStr">
        <is>
          <t>Active</t>
        </is>
      </c>
      <c r="G115" s="20" t="n">
        <v>30</v>
      </c>
      <c r="H115" s="20" t="n">
        <v>34</v>
      </c>
      <c r="I115" s="20" t="n">
        <v>1</v>
      </c>
      <c r="J115" s="20" t="n">
        <v>4</v>
      </c>
      <c r="K115" s="20" t="n">
        <v>18</v>
      </c>
      <c r="L115" s="20" t="n">
        <v>6</v>
      </c>
      <c r="M115" s="20" t="n">
        <v>28</v>
      </c>
      <c r="N115" s="20" t="n">
        <v>18</v>
      </c>
      <c r="O115" s="20" t="n">
        <v>0</v>
      </c>
      <c r="P115" s="20" t="n">
        <v>6</v>
      </c>
      <c r="Q115" s="20" t="n">
        <v>0</v>
      </c>
    </row>
    <row r="116">
      <c r="A116" s="15" t="n">
        <v>28678921</v>
      </c>
      <c r="B116" s="15" t="inlineStr">
        <is>
          <t>227</t>
        </is>
      </c>
      <c r="C116" s="15" t="inlineStr">
        <is>
          <t>F</t>
        </is>
      </c>
      <c r="D116" s="15" t="inlineStr">
        <is>
          <t>01</t>
        </is>
      </c>
      <c r="E116" s="16" t="inlineStr">
        <is>
          <t>InfyHubliVox Toastmasters Club</t>
        </is>
      </c>
      <c r="F116" s="15" t="inlineStr">
        <is>
          <t>Active</t>
        </is>
      </c>
      <c r="G116" s="17" t="n">
        <v>8</v>
      </c>
      <c r="H116" s="17" t="n">
        <v>8</v>
      </c>
      <c r="I116" s="17" t="n">
        <v>1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</row>
    <row r="117">
      <c r="A117" s="18" t="n">
        <v>28679896</v>
      </c>
      <c r="B117" s="18" t="inlineStr">
        <is>
          <t>227</t>
        </is>
      </c>
      <c r="C117" s="18" t="inlineStr">
        <is>
          <t>F</t>
        </is>
      </c>
      <c r="D117" s="18" t="inlineStr">
        <is>
          <t>01</t>
        </is>
      </c>
      <c r="E117" s="19" t="inlineStr">
        <is>
          <t>Chilli Champions Toastmasters Club</t>
        </is>
      </c>
      <c r="F117" s="18" t="inlineStr">
        <is>
          <t>Active</t>
        </is>
      </c>
      <c r="G117" s="20" t="n">
        <v>20</v>
      </c>
      <c r="H117" s="20" t="n">
        <v>20</v>
      </c>
      <c r="I117" s="20" t="n">
        <v>0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0</v>
      </c>
      <c r="O117" s="20" t="n">
        <v>0</v>
      </c>
      <c r="P117" s="20" t="n">
        <v>0</v>
      </c>
      <c r="Q117" s="20" t="n">
        <v>0</v>
      </c>
    </row>
    <row r="118">
      <c r="A118" s="15" t="n">
        <v>28680663</v>
      </c>
      <c r="B118" s="15" t="inlineStr">
        <is>
          <t>227</t>
        </is>
      </c>
      <c r="C118" s="15" t="inlineStr">
        <is>
          <t>F</t>
        </is>
      </c>
      <c r="D118" s="15" t="inlineStr">
        <is>
          <t>01</t>
        </is>
      </c>
      <c r="E118" s="16" t="inlineStr">
        <is>
          <t>SPS Toastmasters Club</t>
        </is>
      </c>
      <c r="F118" s="15" t="inlineStr">
        <is>
          <t>Active</t>
        </is>
      </c>
      <c r="G118" s="17" t="n">
        <v>33</v>
      </c>
      <c r="H118" s="17" t="n">
        <v>33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</row>
    <row r="119">
      <c r="A119" s="18" t="n">
        <v>6997339</v>
      </c>
      <c r="B119" s="18" t="inlineStr">
        <is>
          <t>227</t>
        </is>
      </c>
      <c r="C119" s="18" t="inlineStr">
        <is>
          <t>F</t>
        </is>
      </c>
      <c r="D119" s="18" t="inlineStr">
        <is>
          <t>02</t>
        </is>
      </c>
      <c r="E119" s="19" t="inlineStr">
        <is>
          <t>KLS IMER Toastmasters</t>
        </is>
      </c>
      <c r="F119" s="18" t="inlineStr">
        <is>
          <t>Active</t>
        </is>
      </c>
      <c r="G119" s="20" t="n">
        <v>14</v>
      </c>
      <c r="H119" s="20" t="n">
        <v>15</v>
      </c>
      <c r="I119" s="20" t="n">
        <v>0</v>
      </c>
      <c r="J119" s="20" t="n">
        <v>1</v>
      </c>
      <c r="K119" s="20" t="n">
        <v>4</v>
      </c>
      <c r="L119" s="20" t="n">
        <v>4</v>
      </c>
      <c r="M119" s="20" t="n">
        <v>9</v>
      </c>
      <c r="N119" s="20" t="n">
        <v>4</v>
      </c>
      <c r="O119" s="20" t="n">
        <v>0</v>
      </c>
      <c r="P119" s="20" t="n">
        <v>4</v>
      </c>
      <c r="Q119" s="20" t="n">
        <v>0</v>
      </c>
    </row>
    <row r="120">
      <c r="A120" s="15" t="n">
        <v>7335393</v>
      </c>
      <c r="B120" s="15" t="inlineStr">
        <is>
          <t>227</t>
        </is>
      </c>
      <c r="C120" s="15" t="inlineStr">
        <is>
          <t>F</t>
        </is>
      </c>
      <c r="D120" s="15" t="inlineStr">
        <is>
          <t>02</t>
        </is>
      </c>
      <c r="E120" s="16" t="inlineStr">
        <is>
          <t>Shivamogga Toastmasters</t>
        </is>
      </c>
      <c r="F120" s="15" t="inlineStr">
        <is>
          <t>Active</t>
        </is>
      </c>
      <c r="G120" s="17" t="n">
        <v>9</v>
      </c>
      <c r="H120" s="17" t="n">
        <v>9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</row>
    <row r="121">
      <c r="A121" s="18" t="n">
        <v>7826939</v>
      </c>
      <c r="B121" s="18" t="inlineStr">
        <is>
          <t>227</t>
        </is>
      </c>
      <c r="C121" s="18" t="inlineStr">
        <is>
          <t>F</t>
        </is>
      </c>
      <c r="D121" s="18" t="inlineStr">
        <is>
          <t>02</t>
        </is>
      </c>
      <c r="E121" s="19" t="inlineStr">
        <is>
          <t>Kannada English Bilingual Toastmasters Club</t>
        </is>
      </c>
      <c r="F121" s="18" t="inlineStr">
        <is>
          <t>Active</t>
        </is>
      </c>
      <c r="G121" s="20" t="n">
        <v>10</v>
      </c>
      <c r="H121" s="20" t="n">
        <v>10</v>
      </c>
      <c r="I121" s="20" t="n">
        <v>0</v>
      </c>
      <c r="J121" s="20" t="n">
        <v>0</v>
      </c>
      <c r="K121" s="20" t="n">
        <v>9</v>
      </c>
      <c r="L121" s="20" t="n">
        <v>2</v>
      </c>
      <c r="M121" s="20" t="n">
        <v>11</v>
      </c>
      <c r="N121" s="20" t="n">
        <v>9</v>
      </c>
      <c r="O121" s="20" t="n">
        <v>0</v>
      </c>
      <c r="P121" s="20" t="n">
        <v>2</v>
      </c>
      <c r="Q121" s="20" t="n">
        <v>0</v>
      </c>
    </row>
    <row r="122">
      <c r="A122" s="15" t="n">
        <v>28675688</v>
      </c>
      <c r="B122" s="15" t="inlineStr">
        <is>
          <t>227</t>
        </is>
      </c>
      <c r="C122" s="15" t="inlineStr">
        <is>
          <t>F</t>
        </is>
      </c>
      <c r="D122" s="15" t="inlineStr">
        <is>
          <t>02</t>
        </is>
      </c>
      <c r="E122" s="16" t="inlineStr">
        <is>
          <t>APS Toastmasters Club</t>
        </is>
      </c>
      <c r="F122" s="15" t="inlineStr">
        <is>
          <t>Active</t>
        </is>
      </c>
      <c r="G122" s="17" t="n">
        <v>30</v>
      </c>
      <c r="H122" s="17" t="n">
        <v>30</v>
      </c>
      <c r="I122" s="17" t="n">
        <v>0</v>
      </c>
      <c r="J122" s="17" t="n">
        <v>0</v>
      </c>
      <c r="K122" s="17" t="n">
        <v>27</v>
      </c>
      <c r="L122" s="17" t="n">
        <v>0</v>
      </c>
      <c r="M122" s="17" t="n">
        <v>27</v>
      </c>
      <c r="N122" s="17" t="n">
        <v>27</v>
      </c>
      <c r="O122" s="17" t="n">
        <v>0</v>
      </c>
      <c r="P122" s="17" t="n">
        <v>0</v>
      </c>
      <c r="Q122" s="17" t="n">
        <v>0</v>
      </c>
    </row>
    <row r="123">
      <c r="A123" s="18" t="n">
        <v>28677946</v>
      </c>
      <c r="B123" s="18" t="inlineStr">
        <is>
          <t>227</t>
        </is>
      </c>
      <c r="C123" s="18" t="inlineStr">
        <is>
          <t>F</t>
        </is>
      </c>
      <c r="D123" s="18" t="inlineStr">
        <is>
          <t>02</t>
        </is>
      </c>
      <c r="E123" s="19" t="inlineStr">
        <is>
          <t>Belagavi Toastmasters Centenary Club</t>
        </is>
      </c>
      <c r="F123" s="18" t="inlineStr">
        <is>
          <t>Active</t>
        </is>
      </c>
      <c r="G123" s="20" t="n">
        <v>15</v>
      </c>
      <c r="H123" s="20" t="n">
        <v>17</v>
      </c>
      <c r="I123" s="20" t="n">
        <v>2</v>
      </c>
      <c r="J123" s="20" t="n">
        <v>2</v>
      </c>
      <c r="K123" s="20" t="n">
        <v>8</v>
      </c>
      <c r="L123" s="20" t="n">
        <v>5</v>
      </c>
      <c r="M123" s="20" t="n">
        <v>15</v>
      </c>
      <c r="N123" s="20" t="n">
        <v>8</v>
      </c>
      <c r="O123" s="20" t="n">
        <v>0</v>
      </c>
      <c r="P123" s="20" t="n">
        <v>5</v>
      </c>
      <c r="Q123" s="20" t="n">
        <v>0</v>
      </c>
    </row>
    <row r="124">
      <c r="A124" s="15" t="n">
        <v>1214543</v>
      </c>
      <c r="B124" s="15" t="inlineStr">
        <is>
          <t>227</t>
        </is>
      </c>
      <c r="C124" s="15" t="inlineStr">
        <is>
          <t>F</t>
        </is>
      </c>
      <c r="D124" s="15" t="inlineStr">
        <is>
          <t>03</t>
        </is>
      </c>
      <c r="E124" s="16" t="inlineStr">
        <is>
          <t>GOA Toastmasters Club</t>
        </is>
      </c>
      <c r="F124" s="15" t="inlineStr">
        <is>
          <t>Active</t>
        </is>
      </c>
      <c r="G124" s="17" t="n">
        <v>26</v>
      </c>
      <c r="H124" s="17" t="n">
        <v>26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</row>
    <row r="125">
      <c r="A125" s="18" t="n">
        <v>2575847</v>
      </c>
      <c r="B125" s="18" t="inlineStr">
        <is>
          <t>227</t>
        </is>
      </c>
      <c r="C125" s="18" t="inlineStr">
        <is>
          <t>F</t>
        </is>
      </c>
      <c r="D125" s="18" t="inlineStr">
        <is>
          <t>03</t>
        </is>
      </c>
      <c r="E125" s="19" t="inlineStr">
        <is>
          <t>Toastmasters International Margao</t>
        </is>
      </c>
      <c r="F125" s="18" t="inlineStr">
        <is>
          <t>Active</t>
        </is>
      </c>
      <c r="G125" s="20" t="n">
        <v>16</v>
      </c>
      <c r="H125" s="20" t="n">
        <v>16</v>
      </c>
      <c r="I125" s="20" t="n">
        <v>0</v>
      </c>
      <c r="J125" s="20" t="n">
        <v>0</v>
      </c>
      <c r="K125" s="20" t="n">
        <v>8</v>
      </c>
      <c r="L125" s="20" t="n">
        <v>3</v>
      </c>
      <c r="M125" s="20" t="n">
        <v>11</v>
      </c>
      <c r="N125" s="20" t="n">
        <v>8</v>
      </c>
      <c r="O125" s="20" t="n">
        <v>0</v>
      </c>
      <c r="P125" s="20" t="n">
        <v>3</v>
      </c>
      <c r="Q125" s="20" t="n">
        <v>0</v>
      </c>
    </row>
    <row r="126">
      <c r="A126" s="15" t="n">
        <v>3214306</v>
      </c>
      <c r="B126" s="15" t="inlineStr">
        <is>
          <t>227</t>
        </is>
      </c>
      <c r="C126" s="15" t="inlineStr">
        <is>
          <t>F</t>
        </is>
      </c>
      <c r="D126" s="15" t="inlineStr">
        <is>
          <t>03</t>
        </is>
      </c>
      <c r="E126" s="16" t="inlineStr">
        <is>
          <t>International Centre GOA (ICG) Toastmasters Club</t>
        </is>
      </c>
      <c r="F126" s="15" t="inlineStr">
        <is>
          <t>Active</t>
        </is>
      </c>
      <c r="G126" s="17" t="n">
        <v>27</v>
      </c>
      <c r="H126" s="17" t="n">
        <v>27</v>
      </c>
      <c r="I126" s="17" t="n">
        <v>0</v>
      </c>
      <c r="J126" s="17" t="n">
        <v>0</v>
      </c>
      <c r="K126" s="17" t="n">
        <v>7</v>
      </c>
      <c r="L126" s="17" t="n">
        <v>6</v>
      </c>
      <c r="M126" s="17" t="n">
        <v>13</v>
      </c>
      <c r="N126" s="17" t="n">
        <v>7</v>
      </c>
      <c r="O126" s="17" t="n">
        <v>0</v>
      </c>
      <c r="P126" s="17" t="n">
        <v>6</v>
      </c>
      <c r="Q126" s="17" t="n">
        <v>0</v>
      </c>
    </row>
    <row r="127">
      <c r="A127" s="18" t="n">
        <v>7946347</v>
      </c>
      <c r="B127" s="18" t="inlineStr">
        <is>
          <t>227</t>
        </is>
      </c>
      <c r="C127" s="18" t="inlineStr">
        <is>
          <t>F</t>
        </is>
      </c>
      <c r="D127" s="18" t="inlineStr">
        <is>
          <t>03</t>
        </is>
      </c>
      <c r="E127" s="19" t="inlineStr">
        <is>
          <t>TheanTamil Toastmasters Club</t>
        </is>
      </c>
      <c r="F127" s="18" t="inlineStr">
        <is>
          <t>Active</t>
        </is>
      </c>
      <c r="G127" s="20" t="n">
        <v>12</v>
      </c>
      <c r="H127" s="20" t="n">
        <v>14</v>
      </c>
      <c r="I127" s="20" t="n">
        <v>0</v>
      </c>
      <c r="J127" s="20" t="n">
        <v>2</v>
      </c>
      <c r="K127" s="20" t="n">
        <v>2</v>
      </c>
      <c r="L127" s="20" t="n">
        <v>0</v>
      </c>
      <c r="M127" s="20" t="n">
        <v>4</v>
      </c>
      <c r="N127" s="20" t="n">
        <v>2</v>
      </c>
      <c r="O127" s="20" t="n">
        <v>0</v>
      </c>
      <c r="P127" s="20" t="n">
        <v>0</v>
      </c>
      <c r="Q127" s="20" t="n">
        <v>0</v>
      </c>
    </row>
    <row r="128">
      <c r="A128" s="15" t="n">
        <v>28676711</v>
      </c>
      <c r="B128" s="15" t="inlineStr">
        <is>
          <t>227</t>
        </is>
      </c>
      <c r="C128" s="15" t="inlineStr">
        <is>
          <t>F</t>
        </is>
      </c>
      <c r="D128" s="15" t="inlineStr">
        <is>
          <t>03</t>
        </is>
      </c>
      <c r="E128" s="16" t="inlineStr">
        <is>
          <t>Melange Toastmasters Club</t>
        </is>
      </c>
      <c r="F128" s="15" t="inlineStr">
        <is>
          <t>Active</t>
        </is>
      </c>
      <c r="G128" s="17" t="n">
        <v>8</v>
      </c>
      <c r="H128" s="17" t="n">
        <v>9</v>
      </c>
      <c r="I128" s="17" t="n">
        <v>0</v>
      </c>
      <c r="J128" s="17" t="n">
        <v>1</v>
      </c>
      <c r="K128" s="17" t="n">
        <v>6</v>
      </c>
      <c r="L128" s="17" t="n">
        <v>5</v>
      </c>
      <c r="M128" s="17" t="n">
        <v>12</v>
      </c>
      <c r="N128" s="17" t="n">
        <v>6</v>
      </c>
      <c r="O128" s="17" t="n">
        <v>0</v>
      </c>
      <c r="P128" s="17" t="n">
        <v>5</v>
      </c>
      <c r="Q128" s="17" t="n">
        <v>0</v>
      </c>
    </row>
    <row r="129">
      <c r="A129" s="18" t="n">
        <v>4361333</v>
      </c>
      <c r="B129" s="18" t="inlineStr">
        <is>
          <t>227</t>
        </is>
      </c>
      <c r="C129" s="18" t="inlineStr">
        <is>
          <t>F</t>
        </is>
      </c>
      <c r="D129" s="18" t="inlineStr">
        <is>
          <t>04</t>
        </is>
      </c>
      <c r="E129" s="19" t="inlineStr">
        <is>
          <t>Mapusa Toastmasters</t>
        </is>
      </c>
      <c r="F129" s="18" t="inlineStr">
        <is>
          <t>Active</t>
        </is>
      </c>
      <c r="G129" s="20" t="n">
        <v>12</v>
      </c>
      <c r="H129" s="20" t="n">
        <v>12</v>
      </c>
      <c r="I129" s="20" t="n">
        <v>0</v>
      </c>
      <c r="J129" s="20" t="n">
        <v>0</v>
      </c>
      <c r="K129" s="20" t="n">
        <v>1</v>
      </c>
      <c r="L129" s="20" t="n">
        <v>1</v>
      </c>
      <c r="M129" s="20" t="n">
        <v>2</v>
      </c>
      <c r="N129" s="20" t="n">
        <v>1</v>
      </c>
      <c r="O129" s="20" t="n">
        <v>0</v>
      </c>
      <c r="P129" s="20" t="n">
        <v>1</v>
      </c>
      <c r="Q129" s="20" t="n">
        <v>0</v>
      </c>
    </row>
    <row r="130">
      <c r="A130" s="15" t="n">
        <v>6941455</v>
      </c>
      <c r="B130" s="15" t="inlineStr">
        <is>
          <t>227</t>
        </is>
      </c>
      <c r="C130" s="15" t="inlineStr">
        <is>
          <t>F</t>
        </is>
      </c>
      <c r="D130" s="15" t="inlineStr">
        <is>
          <t>04</t>
        </is>
      </c>
      <c r="E130" s="16" t="inlineStr">
        <is>
          <t>Tangentia Toastmasters</t>
        </is>
      </c>
      <c r="F130" s="15" t="inlineStr">
        <is>
          <t>Active</t>
        </is>
      </c>
      <c r="G130" s="17" t="n">
        <v>8</v>
      </c>
      <c r="H130" s="17" t="n">
        <v>8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</row>
    <row r="131">
      <c r="A131" s="18" t="n">
        <v>7856600</v>
      </c>
      <c r="B131" s="18" t="inlineStr">
        <is>
          <t>227</t>
        </is>
      </c>
      <c r="C131" s="18" t="inlineStr">
        <is>
          <t>F</t>
        </is>
      </c>
      <c r="D131" s="18" t="inlineStr">
        <is>
          <t>04</t>
        </is>
      </c>
      <c r="E131" s="19" t="inlineStr">
        <is>
          <t>Online Toastmasters Tribe</t>
        </is>
      </c>
      <c r="F131" s="18" t="inlineStr">
        <is>
          <t>Active</t>
        </is>
      </c>
      <c r="G131" s="20" t="n">
        <v>12</v>
      </c>
      <c r="H131" s="20" t="n">
        <v>12</v>
      </c>
      <c r="I131" s="20" t="n">
        <v>0</v>
      </c>
      <c r="J131" s="20" t="n">
        <v>0</v>
      </c>
      <c r="K131" s="20" t="n">
        <v>3</v>
      </c>
      <c r="L131" s="20" t="n">
        <v>1</v>
      </c>
      <c r="M131" s="20" t="n">
        <v>4</v>
      </c>
      <c r="N131" s="20" t="n">
        <v>3</v>
      </c>
      <c r="O131" s="20" t="n">
        <v>0</v>
      </c>
      <c r="P131" s="20" t="n">
        <v>1</v>
      </c>
      <c r="Q131" s="20" t="n">
        <v>0</v>
      </c>
    </row>
    <row r="132">
      <c r="A132" s="15" t="n">
        <v>28678487</v>
      </c>
      <c r="B132" s="15" t="inlineStr">
        <is>
          <t>227</t>
        </is>
      </c>
      <c r="C132" s="15" t="inlineStr">
        <is>
          <t>F</t>
        </is>
      </c>
      <c r="D132" s="15" t="inlineStr">
        <is>
          <t>04</t>
        </is>
      </c>
      <c r="E132" s="16" t="inlineStr">
        <is>
          <t>Calangute Toastmasters Club</t>
        </is>
      </c>
      <c r="F132" s="15" t="inlineStr">
        <is>
          <t>Active</t>
        </is>
      </c>
      <c r="G132" s="17" t="n">
        <v>21</v>
      </c>
      <c r="H132" s="17" t="n">
        <v>21</v>
      </c>
      <c r="I132" s="17" t="n">
        <v>0</v>
      </c>
      <c r="J132" s="17" t="n">
        <v>0</v>
      </c>
      <c r="K132" s="17" t="n">
        <v>7</v>
      </c>
      <c r="L132" s="17" t="n">
        <v>7</v>
      </c>
      <c r="M132" s="17" t="n">
        <v>14</v>
      </c>
      <c r="N132" s="17" t="n">
        <v>7</v>
      </c>
      <c r="O132" s="17" t="n">
        <v>0</v>
      </c>
      <c r="P132" s="17" t="n">
        <v>7</v>
      </c>
      <c r="Q132" s="17" t="n">
        <v>0</v>
      </c>
    </row>
    <row r="133">
      <c r="A133" s="18" t="n">
        <v>632425</v>
      </c>
      <c r="B133" s="18" t="inlineStr">
        <is>
          <t>227</t>
        </is>
      </c>
      <c r="C133" s="18" t="inlineStr">
        <is>
          <t>G</t>
        </is>
      </c>
      <c r="D133" s="18" t="inlineStr">
        <is>
          <t>01</t>
        </is>
      </c>
      <c r="E133" s="19" t="inlineStr">
        <is>
          <t>CMS Speakers Forum Toastmasters Club</t>
        </is>
      </c>
      <c r="F133" s="18" t="inlineStr">
        <is>
          <t>Active</t>
        </is>
      </c>
      <c r="G133" s="20" t="n">
        <v>8</v>
      </c>
      <c r="H133" s="20" t="n">
        <v>8</v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0" t="n">
        <v>0</v>
      </c>
      <c r="O133" s="20" t="n">
        <v>0</v>
      </c>
      <c r="P133" s="20" t="n">
        <v>0</v>
      </c>
      <c r="Q133" s="20" t="n">
        <v>0</v>
      </c>
    </row>
    <row r="134">
      <c r="A134" s="15" t="n">
        <v>725960</v>
      </c>
      <c r="B134" s="15" t="inlineStr">
        <is>
          <t>227</t>
        </is>
      </c>
      <c r="C134" s="15" t="inlineStr">
        <is>
          <t>G</t>
        </is>
      </c>
      <c r="D134" s="15" t="inlineStr">
        <is>
          <t>01</t>
        </is>
      </c>
      <c r="E134" s="16" t="inlineStr">
        <is>
          <t>Jain Toastmasters Club</t>
        </is>
      </c>
      <c r="F134" s="15" t="inlineStr">
        <is>
          <t>Active</t>
        </is>
      </c>
      <c r="G134" s="17" t="n">
        <v>8</v>
      </c>
      <c r="H134" s="17" t="n">
        <v>8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</row>
    <row r="135">
      <c r="A135" s="18" t="n">
        <v>726395</v>
      </c>
      <c r="B135" s="18" t="inlineStr">
        <is>
          <t>227</t>
        </is>
      </c>
      <c r="C135" s="18" t="inlineStr">
        <is>
          <t>G</t>
        </is>
      </c>
      <c r="D135" s="18" t="inlineStr">
        <is>
          <t>01</t>
        </is>
      </c>
      <c r="E135" s="19" t="inlineStr">
        <is>
          <t>SBMJC Toastmasters Club</t>
        </is>
      </c>
      <c r="F135" s="18" t="inlineStr">
        <is>
          <t>Active</t>
        </is>
      </c>
      <c r="G135" s="20" t="n">
        <v>8</v>
      </c>
      <c r="H135" s="20" t="n">
        <v>8</v>
      </c>
      <c r="I135" s="20" t="n">
        <v>0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O135" s="20" t="n">
        <v>0</v>
      </c>
      <c r="P135" s="20" t="n">
        <v>0</v>
      </c>
      <c r="Q135" s="20" t="n">
        <v>0</v>
      </c>
    </row>
    <row r="136">
      <c r="A136" s="15" t="n">
        <v>726698</v>
      </c>
      <c r="B136" s="15" t="inlineStr">
        <is>
          <t>227</t>
        </is>
      </c>
      <c r="C136" s="15" t="inlineStr">
        <is>
          <t>G</t>
        </is>
      </c>
      <c r="D136" s="15" t="inlineStr">
        <is>
          <t>01</t>
        </is>
      </c>
      <c r="E136" s="16" t="inlineStr">
        <is>
          <t>Mahaveer Toastmasters Club</t>
        </is>
      </c>
      <c r="F136" s="15" t="inlineStr">
        <is>
          <t>Active</t>
        </is>
      </c>
      <c r="G136" s="17" t="n">
        <v>8</v>
      </c>
      <c r="H136" s="17" t="n">
        <v>8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</row>
    <row r="137">
      <c r="A137" s="18" t="n">
        <v>2405453</v>
      </c>
      <c r="B137" s="18" t="inlineStr">
        <is>
          <t>227</t>
        </is>
      </c>
      <c r="C137" s="18" t="inlineStr">
        <is>
          <t>G</t>
        </is>
      </c>
      <c r="D137" s="18" t="inlineStr">
        <is>
          <t>02</t>
        </is>
      </c>
      <c r="E137" s="19" t="inlineStr">
        <is>
          <t>vTalk Toastmasters Club</t>
        </is>
      </c>
      <c r="F137" s="18" t="inlineStr">
        <is>
          <t>Active</t>
        </is>
      </c>
      <c r="G137" s="20" t="n">
        <v>8</v>
      </c>
      <c r="H137" s="20" t="n">
        <v>8</v>
      </c>
      <c r="I137" s="20" t="n">
        <v>0</v>
      </c>
      <c r="J137" s="20" t="n">
        <v>0</v>
      </c>
      <c r="K137" s="20" t="n">
        <v>0</v>
      </c>
      <c r="L137" s="20" t="n">
        <v>0</v>
      </c>
      <c r="M137" s="20" t="n">
        <v>0</v>
      </c>
      <c r="N137" s="20" t="n">
        <v>0</v>
      </c>
      <c r="O137" s="20" t="n">
        <v>0</v>
      </c>
      <c r="P137" s="20" t="n">
        <v>0</v>
      </c>
      <c r="Q137" s="20" t="n">
        <v>0</v>
      </c>
    </row>
    <row r="138">
      <c r="A138" s="15" t="n">
        <v>6636162</v>
      </c>
      <c r="B138" s="15" t="inlineStr">
        <is>
          <t>227</t>
        </is>
      </c>
      <c r="C138" s="15" t="inlineStr">
        <is>
          <t>G</t>
        </is>
      </c>
      <c r="D138" s="15" t="inlineStr">
        <is>
          <t>02</t>
        </is>
      </c>
      <c r="E138" s="16" t="inlineStr">
        <is>
          <t>BTM Toastmasters Club</t>
        </is>
      </c>
      <c r="F138" s="15" t="inlineStr">
        <is>
          <t>Active</t>
        </is>
      </c>
      <c r="G138" s="17" t="n">
        <v>29</v>
      </c>
      <c r="H138" s="17" t="n">
        <v>32</v>
      </c>
      <c r="I138" s="17" t="n">
        <v>1</v>
      </c>
      <c r="J138" s="17" t="n">
        <v>3</v>
      </c>
      <c r="K138" s="17" t="n">
        <v>25</v>
      </c>
      <c r="L138" s="17" t="n">
        <v>6</v>
      </c>
      <c r="M138" s="17" t="n">
        <v>34</v>
      </c>
      <c r="N138" s="17" t="n">
        <v>25</v>
      </c>
      <c r="O138" s="17" t="n">
        <v>0</v>
      </c>
      <c r="P138" s="17" t="n">
        <v>6</v>
      </c>
      <c r="Q138" s="17" t="n">
        <v>0</v>
      </c>
    </row>
    <row r="139">
      <c r="A139" s="18" t="n">
        <v>6831114</v>
      </c>
      <c r="B139" s="18" t="inlineStr">
        <is>
          <t>227</t>
        </is>
      </c>
      <c r="C139" s="18" t="inlineStr">
        <is>
          <t>G</t>
        </is>
      </c>
      <c r="D139" s="18" t="inlineStr">
        <is>
          <t>02</t>
        </is>
      </c>
      <c r="E139" s="19" t="inlineStr">
        <is>
          <t>Leaders Speak</t>
        </is>
      </c>
      <c r="F139" s="18" t="inlineStr">
        <is>
          <t>Active</t>
        </is>
      </c>
      <c r="G139" s="20" t="n">
        <v>22</v>
      </c>
      <c r="H139" s="20" t="n">
        <v>22</v>
      </c>
      <c r="I139" s="20" t="n">
        <v>0</v>
      </c>
      <c r="J139" s="20" t="n">
        <v>0</v>
      </c>
      <c r="K139" s="20" t="n">
        <v>8</v>
      </c>
      <c r="L139" s="20" t="n">
        <v>3</v>
      </c>
      <c r="M139" s="20" t="n">
        <v>11</v>
      </c>
      <c r="N139" s="20" t="n">
        <v>8</v>
      </c>
      <c r="O139" s="20" t="n">
        <v>0</v>
      </c>
      <c r="P139" s="20" t="n">
        <v>3</v>
      </c>
      <c r="Q139" s="20" t="n">
        <v>0</v>
      </c>
    </row>
    <row r="140">
      <c r="A140" s="15" t="n">
        <v>28678910</v>
      </c>
      <c r="B140" s="15" t="inlineStr">
        <is>
          <t>227</t>
        </is>
      </c>
      <c r="C140" s="15" t="inlineStr">
        <is>
          <t>G</t>
        </is>
      </c>
      <c r="D140" s="15" t="inlineStr">
        <is>
          <t>02</t>
        </is>
      </c>
      <c r="E140" s="16" t="inlineStr">
        <is>
          <t>Furlenco Toastmasters Club</t>
        </is>
      </c>
      <c r="F140" s="15" t="inlineStr">
        <is>
          <t>Active</t>
        </is>
      </c>
      <c r="G140" s="17" t="n">
        <v>14</v>
      </c>
      <c r="H140" s="17" t="n">
        <v>14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</row>
    <row r="141">
      <c r="A141" s="18" t="n">
        <v>28678951</v>
      </c>
      <c r="B141" s="18" t="inlineStr">
        <is>
          <t>227</t>
        </is>
      </c>
      <c r="C141" s="18" t="inlineStr">
        <is>
          <t>G</t>
        </is>
      </c>
      <c r="D141" s="18" t="inlineStr">
        <is>
          <t>02</t>
        </is>
      </c>
      <c r="E141" s="19" t="inlineStr">
        <is>
          <t>Welldoc Toastmasters</t>
        </is>
      </c>
      <c r="F141" s="18" t="inlineStr">
        <is>
          <t>Active</t>
        </is>
      </c>
      <c r="G141" s="20" t="n">
        <v>10</v>
      </c>
      <c r="H141" s="20" t="n">
        <v>10</v>
      </c>
      <c r="I141" s="20" t="n">
        <v>0</v>
      </c>
      <c r="J141" s="20" t="n">
        <v>0</v>
      </c>
      <c r="K141" s="20" t="n">
        <v>0</v>
      </c>
      <c r="L141" s="20" t="n">
        <v>0</v>
      </c>
      <c r="M141" s="20" t="n">
        <v>0</v>
      </c>
      <c r="N141" s="20" t="n">
        <v>0</v>
      </c>
      <c r="O141" s="20" t="n">
        <v>0</v>
      </c>
      <c r="P141" s="20" t="n">
        <v>0</v>
      </c>
      <c r="Q141" s="20" t="n">
        <v>0</v>
      </c>
    </row>
    <row r="142">
      <c r="A142" s="15" t="n">
        <v>7711039</v>
      </c>
      <c r="B142" s="15" t="inlineStr">
        <is>
          <t>227</t>
        </is>
      </c>
      <c r="C142" s="15" t="inlineStr">
        <is>
          <t>G</t>
        </is>
      </c>
      <c r="D142" s="15" t="inlineStr">
        <is>
          <t>03</t>
        </is>
      </c>
      <c r="E142" s="16" t="inlineStr">
        <is>
          <t>Words Worth Toastmasters</t>
        </is>
      </c>
      <c r="F142" s="15" t="inlineStr">
        <is>
          <t>Active</t>
        </is>
      </c>
      <c r="G142" s="17" t="n">
        <v>35</v>
      </c>
      <c r="H142" s="17" t="n">
        <v>42</v>
      </c>
      <c r="I142" s="17" t="n">
        <v>1</v>
      </c>
      <c r="J142" s="17" t="n">
        <v>7</v>
      </c>
      <c r="K142" s="17" t="n">
        <v>23</v>
      </c>
      <c r="L142" s="17" t="n">
        <v>13</v>
      </c>
      <c r="M142" s="17" t="n">
        <v>43</v>
      </c>
      <c r="N142" s="17" t="n">
        <v>23</v>
      </c>
      <c r="O142" s="17" t="n">
        <v>0</v>
      </c>
      <c r="P142" s="17" t="n">
        <v>13</v>
      </c>
      <c r="Q142" s="17" t="n">
        <v>0</v>
      </c>
    </row>
    <row r="143">
      <c r="A143" s="18" t="n">
        <v>7762021</v>
      </c>
      <c r="B143" s="18" t="inlineStr">
        <is>
          <t>227</t>
        </is>
      </c>
      <c r="C143" s="18" t="inlineStr">
        <is>
          <t>G</t>
        </is>
      </c>
      <c r="D143" s="18" t="inlineStr">
        <is>
          <t>03</t>
        </is>
      </c>
      <c r="E143" s="19" t="inlineStr">
        <is>
          <t>Christ Toastmasters Club</t>
        </is>
      </c>
      <c r="F143" s="18" t="inlineStr">
        <is>
          <t>Active</t>
        </is>
      </c>
      <c r="G143" s="20" t="n">
        <v>9</v>
      </c>
      <c r="H143" s="20" t="n">
        <v>18</v>
      </c>
      <c r="I143" s="20" t="n">
        <v>3</v>
      </c>
      <c r="J143" s="20" t="n">
        <v>9</v>
      </c>
      <c r="K143" s="20" t="n">
        <v>6</v>
      </c>
      <c r="L143" s="20" t="n">
        <v>0</v>
      </c>
      <c r="M143" s="20" t="n">
        <v>15</v>
      </c>
      <c r="N143" s="20" t="n">
        <v>6</v>
      </c>
      <c r="O143" s="20" t="n">
        <v>0</v>
      </c>
      <c r="P143" s="20" t="n">
        <v>0</v>
      </c>
      <c r="Q143" s="20" t="n">
        <v>0</v>
      </c>
    </row>
    <row r="144">
      <c r="A144" s="15" t="n">
        <v>28676701</v>
      </c>
      <c r="B144" s="15" t="inlineStr">
        <is>
          <t>227</t>
        </is>
      </c>
      <c r="C144" s="15" t="inlineStr">
        <is>
          <t>G</t>
        </is>
      </c>
      <c r="D144" s="15" t="inlineStr">
        <is>
          <t>03</t>
        </is>
      </c>
      <c r="E144" s="16" t="inlineStr">
        <is>
          <t>Evolve Toastmasters</t>
        </is>
      </c>
      <c r="F144" s="15" t="inlineStr">
        <is>
          <t>Active</t>
        </is>
      </c>
      <c r="G144" s="17" t="n">
        <v>33</v>
      </c>
      <c r="H144" s="17" t="n">
        <v>33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</row>
    <row r="145">
      <c r="A145" s="18" t="n">
        <v>28678938</v>
      </c>
      <c r="B145" s="18" t="inlineStr">
        <is>
          <t>227</t>
        </is>
      </c>
      <c r="C145" s="18" t="inlineStr">
        <is>
          <t>G</t>
        </is>
      </c>
      <c r="D145" s="18" t="inlineStr">
        <is>
          <t>03</t>
        </is>
      </c>
      <c r="E145" s="19" t="inlineStr">
        <is>
          <t>DSBA Toastmaster Club</t>
        </is>
      </c>
      <c r="F145" s="18" t="inlineStr">
        <is>
          <t>Active</t>
        </is>
      </c>
      <c r="G145" s="20" t="n">
        <v>26</v>
      </c>
      <c r="H145" s="20" t="n">
        <v>26</v>
      </c>
      <c r="I145" s="20" t="n">
        <v>0</v>
      </c>
      <c r="J145" s="20" t="n">
        <v>0</v>
      </c>
      <c r="K145" s="20" t="n">
        <v>2</v>
      </c>
      <c r="L145" s="20" t="n">
        <v>0</v>
      </c>
      <c r="M145" s="20" t="n">
        <v>2</v>
      </c>
      <c r="N145" s="20" t="n">
        <v>2</v>
      </c>
      <c r="O145" s="20" t="n">
        <v>0</v>
      </c>
      <c r="P145" s="20" t="n">
        <v>0</v>
      </c>
      <c r="Q145" s="20" t="n">
        <v>0</v>
      </c>
    </row>
    <row r="146">
      <c r="A146" s="15" t="n">
        <v>28679826</v>
      </c>
      <c r="B146" s="15" t="inlineStr">
        <is>
          <t>227</t>
        </is>
      </c>
      <c r="C146" s="15" t="inlineStr">
        <is>
          <t>G</t>
        </is>
      </c>
      <c r="D146" s="15" t="inlineStr">
        <is>
          <t>03</t>
        </is>
      </c>
      <c r="E146" s="16" t="inlineStr">
        <is>
          <t>DSBA Toastmasters Legacy Club</t>
        </is>
      </c>
      <c r="F146" s="15" t="inlineStr">
        <is>
          <t>Active</t>
        </is>
      </c>
      <c r="G146" s="17" t="n">
        <v>27</v>
      </c>
      <c r="H146" s="17" t="n">
        <v>27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</row>
    <row r="147">
      <c r="A147" s="18" t="n">
        <v>5953659</v>
      </c>
      <c r="B147" s="18" t="inlineStr">
        <is>
          <t>227</t>
        </is>
      </c>
      <c r="C147" s="18" t="inlineStr">
        <is>
          <t>G</t>
        </is>
      </c>
      <c r="D147" s="18" t="inlineStr">
        <is>
          <t>04</t>
        </is>
      </c>
      <c r="E147" s="19" t="inlineStr">
        <is>
          <t>Ritoras</t>
        </is>
      </c>
      <c r="F147" s="18" t="inlineStr">
        <is>
          <t>Active</t>
        </is>
      </c>
      <c r="G147" s="20" t="n">
        <v>23</v>
      </c>
      <c r="H147" s="20" t="n">
        <v>23</v>
      </c>
      <c r="I147" s="20" t="n">
        <v>0</v>
      </c>
      <c r="J147" s="20" t="n">
        <v>0</v>
      </c>
      <c r="K147" s="20" t="n">
        <v>11</v>
      </c>
      <c r="L147" s="20" t="n">
        <v>0</v>
      </c>
      <c r="M147" s="20" t="n">
        <v>11</v>
      </c>
      <c r="N147" s="20" t="n">
        <v>11</v>
      </c>
      <c r="O147" s="20" t="n">
        <v>0</v>
      </c>
      <c r="P147" s="20" t="n">
        <v>0</v>
      </c>
      <c r="Q147" s="20" t="n">
        <v>0</v>
      </c>
    </row>
    <row r="148">
      <c r="A148" s="15" t="n">
        <v>7934414</v>
      </c>
      <c r="B148" s="15" t="inlineStr">
        <is>
          <t>227</t>
        </is>
      </c>
      <c r="C148" s="15" t="inlineStr">
        <is>
          <t>G</t>
        </is>
      </c>
      <c r="D148" s="15" t="inlineStr">
        <is>
          <t>04</t>
        </is>
      </c>
      <c r="E148" s="16" t="inlineStr">
        <is>
          <t>V R Advanced Toastmasters</t>
        </is>
      </c>
      <c r="F148" s="15" t="inlineStr">
        <is>
          <t>Active</t>
        </is>
      </c>
      <c r="G148" s="17" t="n">
        <v>20</v>
      </c>
      <c r="H148" s="17" t="n">
        <v>20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</row>
    <row r="149">
      <c r="A149" s="18" t="n">
        <v>7992645</v>
      </c>
      <c r="B149" s="18" t="inlineStr">
        <is>
          <t>227</t>
        </is>
      </c>
      <c r="C149" s="18" t="inlineStr">
        <is>
          <t>G</t>
        </is>
      </c>
      <c r="D149" s="18" t="inlineStr">
        <is>
          <t>04</t>
        </is>
      </c>
      <c r="E149" s="19" t="inlineStr">
        <is>
          <t>All Women and Entrepreneurs Toastmasters Club</t>
        </is>
      </c>
      <c r="F149" s="18" t="inlineStr">
        <is>
          <t>Active</t>
        </is>
      </c>
      <c r="G149" s="20" t="n">
        <v>20</v>
      </c>
      <c r="H149" s="20" t="n">
        <v>20</v>
      </c>
      <c r="I149" s="20" t="n">
        <v>0</v>
      </c>
      <c r="J149" s="20" t="n">
        <v>0</v>
      </c>
      <c r="K149" s="20" t="n">
        <v>1</v>
      </c>
      <c r="L149" s="20" t="n">
        <v>0</v>
      </c>
      <c r="M149" s="20" t="n">
        <v>1</v>
      </c>
      <c r="N149" s="20" t="n">
        <v>1</v>
      </c>
      <c r="O149" s="20" t="n">
        <v>0</v>
      </c>
      <c r="P149" s="20" t="n">
        <v>0</v>
      </c>
      <c r="Q149" s="20" t="n">
        <v>0</v>
      </c>
    </row>
    <row r="150">
      <c r="A150" s="15" t="n">
        <v>28675687</v>
      </c>
      <c r="B150" s="15" t="inlineStr">
        <is>
          <t>227</t>
        </is>
      </c>
      <c r="C150" s="15" t="inlineStr">
        <is>
          <t>G</t>
        </is>
      </c>
      <c r="D150" s="15" t="inlineStr">
        <is>
          <t>04</t>
        </is>
      </c>
      <c r="E150" s="16" t="inlineStr">
        <is>
          <t>School of Commerce, Jain University Toastmasters</t>
        </is>
      </c>
      <c r="F150" s="15" t="inlineStr">
        <is>
          <t>Active</t>
        </is>
      </c>
      <c r="G150" s="17" t="n">
        <v>16</v>
      </c>
      <c r="H150" s="17" t="n">
        <v>16</v>
      </c>
      <c r="I150" s="17" t="n">
        <v>0</v>
      </c>
      <c r="J150" s="17" t="n">
        <v>0</v>
      </c>
      <c r="K150" s="17" t="n">
        <v>7</v>
      </c>
      <c r="L150" s="17" t="n">
        <v>0</v>
      </c>
      <c r="M150" s="17" t="n">
        <v>7</v>
      </c>
      <c r="N150" s="17" t="n">
        <v>7</v>
      </c>
      <c r="O150" s="17" t="n">
        <v>0</v>
      </c>
      <c r="P150" s="17" t="n">
        <v>0</v>
      </c>
      <c r="Q150" s="17" t="n">
        <v>0</v>
      </c>
    </row>
    <row r="151">
      <c r="A151" s="18" t="n">
        <v>28677183</v>
      </c>
      <c r="B151" s="18" t="inlineStr">
        <is>
          <t>227</t>
        </is>
      </c>
      <c r="C151" s="18" t="inlineStr">
        <is>
          <t>G</t>
        </is>
      </c>
      <c r="D151" s="18" t="inlineStr">
        <is>
          <t>04</t>
        </is>
      </c>
      <c r="E151" s="19" t="inlineStr">
        <is>
          <t>Titans Toastmasters Club</t>
        </is>
      </c>
      <c r="F151" s="18" t="inlineStr">
        <is>
          <t>Active</t>
        </is>
      </c>
      <c r="G151" s="20" t="n">
        <v>13</v>
      </c>
      <c r="H151" s="20" t="n">
        <v>20</v>
      </c>
      <c r="I151" s="20" t="n">
        <v>1</v>
      </c>
      <c r="J151" s="20" t="n">
        <v>7</v>
      </c>
      <c r="K151" s="20" t="n">
        <v>20</v>
      </c>
      <c r="L151" s="20" t="n">
        <v>0</v>
      </c>
      <c r="M151" s="20" t="n">
        <v>27</v>
      </c>
      <c r="N151" s="20" t="n">
        <v>20</v>
      </c>
      <c r="O151" s="20" t="n">
        <v>0</v>
      </c>
      <c r="P151" s="20" t="n">
        <v>0</v>
      </c>
      <c r="Q151" s="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8" customWidth="1" min="3" max="3"/>
    <col width="22" customWidth="1" min="4" max="4"/>
    <col width="21" customWidth="1" min="5" max="5"/>
    <col width="23" customWidth="1" min="6" max="6"/>
    <col width="21" customWidth="1" min="7" max="7"/>
    <col width="23" customWidth="1" min="8" max="8"/>
    <col width="20" customWidth="1" min="9" max="9"/>
    <col width="19" customWidth="1" min="10" max="10"/>
    <col width="20" customWidth="1" min="11" max="11"/>
    <col width="17" customWidth="1" min="12" max="12"/>
    <col width="15" customWidth="1" min="13" max="13"/>
  </cols>
  <sheetData>
    <row r="1">
      <c r="A1" s="21" t="inlineStr">
        <is>
          <t>District 227 - Divisions Performance Rolled-up Summary</t>
        </is>
      </c>
    </row>
    <row r="2"/>
    <row r="3">
      <c r="A3" s="14" t="inlineStr">
        <is>
          <t>Division</t>
        </is>
      </c>
      <c r="B3" s="14" t="inlineStr">
        <is>
          <t>Base Clubs</t>
        </is>
      </c>
      <c r="C3" s="14" t="inlineStr">
        <is>
          <t>Active Clubs</t>
        </is>
      </c>
      <c r="D3" s="14" t="inlineStr">
        <is>
          <t>Distinguished Clubs</t>
        </is>
      </c>
      <c r="E3" s="14" t="inlineStr">
        <is>
          <t>Base Membership</t>
        </is>
      </c>
      <c r="F3" s="14" t="inlineStr">
        <is>
          <t>Active Membership</t>
        </is>
      </c>
      <c r="G3" s="14" t="inlineStr">
        <is>
          <t>September Renewals</t>
        </is>
      </c>
      <c r="H3" s="14" t="inlineStr">
        <is>
          <t>September Renewals %</t>
        </is>
      </c>
      <c r="I3" s="14" t="inlineStr">
        <is>
          <t>March Renewals</t>
        </is>
      </c>
      <c r="J3" s="14" t="inlineStr">
        <is>
          <t>March Renewals %</t>
        </is>
      </c>
      <c r="K3" s="14" t="inlineStr">
        <is>
          <t>Total New Members</t>
        </is>
      </c>
      <c r="L3" s="14" t="inlineStr">
        <is>
          <t>Total Payments</t>
        </is>
      </c>
      <c r="M3" s="14" t="inlineStr">
        <is>
          <t>20+ Clubs</t>
        </is>
      </c>
    </row>
    <row r="4">
      <c r="A4" s="16" t="inlineStr">
        <is>
          <t>Division 0D</t>
        </is>
      </c>
      <c r="B4" s="17">
        <f>COUNTIFS(ClubDetails!C:C, "0D")</f>
        <v/>
      </c>
      <c r="C4" s="17">
        <f>COUNTIFS(ClubDetails!C:C, "0D", ClubDetails!F:F, "Active")</f>
        <v/>
      </c>
      <c r="D4" s="17">
        <f>'Division 0D'!G9</f>
        <v/>
      </c>
      <c r="E4" s="17">
        <f>'Division 0D'!D9</f>
        <v/>
      </c>
      <c r="F4" s="17">
        <f>'Division 0D'!E9</f>
        <v/>
      </c>
      <c r="G4" s="17">
        <f>'Division 0D'!H9</f>
        <v/>
      </c>
      <c r="H4" s="22">
        <f>IF(E4=0, 0, G4/E4)</f>
        <v/>
      </c>
      <c r="I4" s="17">
        <f>'Division 0D'!K9</f>
        <v/>
      </c>
      <c r="J4" s="22">
        <f>IF(E4=0, 0, I4/E4)</f>
        <v/>
      </c>
      <c r="K4" s="17">
        <f>'Division 0D'!O9</f>
        <v/>
      </c>
      <c r="L4" s="17">
        <f>'Division 0D'!N9</f>
        <v/>
      </c>
      <c r="M4" s="17">
        <f>COUNTIF('Division 0D'!E4:E8, "&gt;=20")</f>
        <v/>
      </c>
    </row>
    <row r="5">
      <c r="A5" s="19" t="inlineStr">
        <is>
          <t>Division A</t>
        </is>
      </c>
      <c r="B5" s="20">
        <f>COUNTIFS(ClubDetails!C:C, "A")</f>
        <v/>
      </c>
      <c r="C5" s="20">
        <f>COUNTIFS(ClubDetails!C:C, "A", ClubDetails!F:F, "Active")</f>
        <v/>
      </c>
      <c r="D5" s="20">
        <f>'Division A'!G27</f>
        <v/>
      </c>
      <c r="E5" s="20">
        <f>'Division A'!D27</f>
        <v/>
      </c>
      <c r="F5" s="20">
        <f>'Division A'!E27</f>
        <v/>
      </c>
      <c r="G5" s="20">
        <f>'Division A'!H27</f>
        <v/>
      </c>
      <c r="H5" s="23">
        <f>IF(E5=0, 0, G5/E5)</f>
        <v/>
      </c>
      <c r="I5" s="20">
        <f>'Division A'!K27</f>
        <v/>
      </c>
      <c r="J5" s="23">
        <f>IF(E5=0, 0, I5/E5)</f>
        <v/>
      </c>
      <c r="K5" s="20">
        <f>'Division A'!O27</f>
        <v/>
      </c>
      <c r="L5" s="20">
        <f>'Division A'!N27</f>
        <v/>
      </c>
      <c r="M5" s="20">
        <f>COUNTIF('Division A'!E4:E26, "&gt;=20")</f>
        <v/>
      </c>
    </row>
    <row r="6">
      <c r="A6" s="16" t="inlineStr">
        <is>
          <t>Division B</t>
        </is>
      </c>
      <c r="B6" s="17">
        <f>COUNTIFS(ClubDetails!C:C, "B")</f>
        <v/>
      </c>
      <c r="C6" s="17">
        <f>COUNTIFS(ClubDetails!C:C, "B", ClubDetails!F:F, "Active")</f>
        <v/>
      </c>
      <c r="D6" s="17">
        <f>'Division B'!G26</f>
        <v/>
      </c>
      <c r="E6" s="17">
        <f>'Division B'!D26</f>
        <v/>
      </c>
      <c r="F6" s="17">
        <f>'Division B'!E26</f>
        <v/>
      </c>
      <c r="G6" s="17">
        <f>'Division B'!H26</f>
        <v/>
      </c>
      <c r="H6" s="22">
        <f>IF(E6=0, 0, G6/E6)</f>
        <v/>
      </c>
      <c r="I6" s="17">
        <f>'Division B'!K26</f>
        <v/>
      </c>
      <c r="J6" s="22">
        <f>IF(E6=0, 0, I6/E6)</f>
        <v/>
      </c>
      <c r="K6" s="17">
        <f>'Division B'!O26</f>
        <v/>
      </c>
      <c r="L6" s="17">
        <f>'Division B'!N26</f>
        <v/>
      </c>
      <c r="M6" s="17">
        <f>COUNTIF('Division B'!E4:E25, "&gt;=20")</f>
        <v/>
      </c>
    </row>
    <row r="7">
      <c r="A7" s="19" t="inlineStr">
        <is>
          <t>Division C</t>
        </is>
      </c>
      <c r="B7" s="20">
        <f>COUNTIFS(ClubDetails!C:C, "C")</f>
        <v/>
      </c>
      <c r="C7" s="20">
        <f>COUNTIFS(ClubDetails!C:C, "C", ClubDetails!F:F, "Active")</f>
        <v/>
      </c>
      <c r="D7" s="20">
        <f>'Division C'!G23</f>
        <v/>
      </c>
      <c r="E7" s="20">
        <f>'Division C'!D23</f>
        <v/>
      </c>
      <c r="F7" s="20">
        <f>'Division C'!E23</f>
        <v/>
      </c>
      <c r="G7" s="20">
        <f>'Division C'!H23</f>
        <v/>
      </c>
      <c r="H7" s="23">
        <f>IF(E7=0, 0, G7/E7)</f>
        <v/>
      </c>
      <c r="I7" s="20">
        <f>'Division C'!K23</f>
        <v/>
      </c>
      <c r="J7" s="23">
        <f>IF(E7=0, 0, I7/E7)</f>
        <v/>
      </c>
      <c r="K7" s="20">
        <f>'Division C'!O23</f>
        <v/>
      </c>
      <c r="L7" s="20">
        <f>'Division C'!N23</f>
        <v/>
      </c>
      <c r="M7" s="20">
        <f>COUNTIF('Division C'!E4:E22, "&gt;=20")</f>
        <v/>
      </c>
    </row>
    <row r="8">
      <c r="A8" s="16" t="inlineStr">
        <is>
          <t>Division D</t>
        </is>
      </c>
      <c r="B8" s="17">
        <f>COUNTIFS(ClubDetails!C:C, "D")</f>
        <v/>
      </c>
      <c r="C8" s="17">
        <f>COUNTIFS(ClubDetails!C:C, "D", ClubDetails!F:F, "Active")</f>
        <v/>
      </c>
      <c r="D8" s="17">
        <f>'Division D'!G26</f>
        <v/>
      </c>
      <c r="E8" s="17">
        <f>'Division D'!D26</f>
        <v/>
      </c>
      <c r="F8" s="17">
        <f>'Division D'!E26</f>
        <v/>
      </c>
      <c r="G8" s="17">
        <f>'Division D'!H26</f>
        <v/>
      </c>
      <c r="H8" s="22">
        <f>IF(E8=0, 0, G8/E8)</f>
        <v/>
      </c>
      <c r="I8" s="17">
        <f>'Division D'!K26</f>
        <v/>
      </c>
      <c r="J8" s="22">
        <f>IF(E8=0, 0, I8/E8)</f>
        <v/>
      </c>
      <c r="K8" s="17">
        <f>'Division D'!O26</f>
        <v/>
      </c>
      <c r="L8" s="17">
        <f>'Division D'!N26</f>
        <v/>
      </c>
      <c r="M8" s="17">
        <f>COUNTIF('Division D'!E4:E25, "&gt;=20")</f>
        <v/>
      </c>
    </row>
    <row r="9">
      <c r="A9" s="19" t="inlineStr">
        <is>
          <t>Division E</t>
        </is>
      </c>
      <c r="B9" s="20">
        <f>COUNTIFS(ClubDetails!C:C, "E")</f>
        <v/>
      </c>
      <c r="C9" s="20">
        <f>COUNTIFS(ClubDetails!C:C, "E", ClubDetails!F:F, "Active")</f>
        <v/>
      </c>
      <c r="D9" s="20">
        <f>'Division E'!G24</f>
        <v/>
      </c>
      <c r="E9" s="20">
        <f>'Division E'!D24</f>
        <v/>
      </c>
      <c r="F9" s="20">
        <f>'Division E'!E24</f>
        <v/>
      </c>
      <c r="G9" s="20">
        <f>'Division E'!H24</f>
        <v/>
      </c>
      <c r="H9" s="23">
        <f>IF(E9=0, 0, G9/E9)</f>
        <v/>
      </c>
      <c r="I9" s="20">
        <f>'Division E'!K24</f>
        <v/>
      </c>
      <c r="J9" s="23">
        <f>IF(E9=0, 0, I9/E9)</f>
        <v/>
      </c>
      <c r="K9" s="20">
        <f>'Division E'!O24</f>
        <v/>
      </c>
      <c r="L9" s="20">
        <f>'Division E'!N24</f>
        <v/>
      </c>
      <c r="M9" s="20">
        <f>COUNTIF('Division E'!E4:E23, "&gt;=20")</f>
        <v/>
      </c>
    </row>
    <row r="10">
      <c r="A10" s="16" t="inlineStr">
        <is>
          <t>Division F</t>
        </is>
      </c>
      <c r="B10" s="17">
        <f>COUNTIFS(ClubDetails!C:C, "F")</f>
        <v/>
      </c>
      <c r="C10" s="17">
        <f>COUNTIFS(ClubDetails!C:C, "F", ClubDetails!F:F, "Active")</f>
        <v/>
      </c>
      <c r="D10" s="17">
        <f>'Division F'!G24</f>
        <v/>
      </c>
      <c r="E10" s="17">
        <f>'Division F'!D24</f>
        <v/>
      </c>
      <c r="F10" s="17">
        <f>'Division F'!E24</f>
        <v/>
      </c>
      <c r="G10" s="17">
        <f>'Division F'!H24</f>
        <v/>
      </c>
      <c r="H10" s="22">
        <f>IF(E10=0, 0, G10/E10)</f>
        <v/>
      </c>
      <c r="I10" s="17">
        <f>'Division F'!K24</f>
        <v/>
      </c>
      <c r="J10" s="22">
        <f>IF(E10=0, 0, I10/E10)</f>
        <v/>
      </c>
      <c r="K10" s="17">
        <f>'Division F'!O24</f>
        <v/>
      </c>
      <c r="L10" s="17">
        <f>'Division F'!N24</f>
        <v/>
      </c>
      <c r="M10" s="17">
        <f>COUNTIF('Division F'!E4:E23, "&gt;=20")</f>
        <v/>
      </c>
    </row>
    <row r="11">
      <c r="A11" s="19" t="inlineStr">
        <is>
          <t>Division G</t>
        </is>
      </c>
      <c r="B11" s="20">
        <f>COUNTIFS(ClubDetails!C:C, "G")</f>
        <v/>
      </c>
      <c r="C11" s="20">
        <f>COUNTIFS(ClubDetails!C:C, "G", ClubDetails!F:F, "Active")</f>
        <v/>
      </c>
      <c r="D11" s="20">
        <f>'Division G'!G23</f>
        <v/>
      </c>
      <c r="E11" s="20">
        <f>'Division G'!D23</f>
        <v/>
      </c>
      <c r="F11" s="20">
        <f>'Division G'!E23</f>
        <v/>
      </c>
      <c r="G11" s="20">
        <f>'Division G'!H23</f>
        <v/>
      </c>
      <c r="H11" s="23">
        <f>IF(E11=0, 0, G11/E11)</f>
        <v/>
      </c>
      <c r="I11" s="20">
        <f>'Division G'!K23</f>
        <v/>
      </c>
      <c r="J11" s="23">
        <f>IF(E11=0, 0, I11/E11)</f>
        <v/>
      </c>
      <c r="K11" s="20">
        <f>'Division G'!O23</f>
        <v/>
      </c>
      <c r="L11" s="20">
        <f>'Division G'!N23</f>
        <v/>
      </c>
      <c r="M11" s="20">
        <f>COUNTIF('Division G'!E4:E22, "&gt;=20")</f>
        <v/>
      </c>
    </row>
    <row r="12">
      <c r="A12" s="24" t="inlineStr">
        <is>
          <t>District Total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25">
        <f>IF(E12=0, 0, G12/E12)</f>
        <v/>
      </c>
      <c r="I12" s="7">
        <f>SUM(I4:I11)</f>
        <v/>
      </c>
      <c r="J12" s="25">
        <f>IF(E12=0, 0, I12/E12)</f>
        <v/>
      </c>
      <c r="K12" s="7">
        <f>SUM(K4:K11)</f>
        <v/>
      </c>
      <c r="L12" s="7">
        <f>SUM(L4:L11)</f>
        <v/>
      </c>
      <c r="M12" s="7">
        <f>SUM(M4:M11)</f>
        <v/>
      </c>
    </row>
    <row r="13"/>
    <row r="14"/>
    <row r="15">
      <c r="A15" s="10" t="inlineStr">
        <is>
          <t>Area Performance Summary</t>
        </is>
      </c>
    </row>
    <row r="16">
      <c r="A16" s="11" t="inlineStr">
        <is>
          <t>Division</t>
        </is>
      </c>
      <c r="B16" s="11" t="inlineStr">
        <is>
          <t>Area</t>
        </is>
      </c>
      <c r="C16" s="11" t="inlineStr">
        <is>
          <t>Base Membership</t>
        </is>
      </c>
      <c r="D16" s="11" t="inlineStr">
        <is>
          <t>Active Membership</t>
        </is>
      </c>
      <c r="E16" s="11" t="inlineStr">
        <is>
          <t>September Renewals</t>
        </is>
      </c>
      <c r="F16" s="11" t="inlineStr">
        <is>
          <t>September Renewals %</t>
        </is>
      </c>
      <c r="G16" s="11" t="inlineStr">
        <is>
          <t>March Renewals</t>
        </is>
      </c>
      <c r="H16" s="11" t="inlineStr">
        <is>
          <t>March Renewals %</t>
        </is>
      </c>
      <c r="I16" s="11" t="inlineStr">
        <is>
          <t>Total New Members</t>
        </is>
      </c>
      <c r="J16" s="11" t="inlineStr">
        <is>
          <t>Total Payments</t>
        </is>
      </c>
    </row>
    <row r="17">
      <c r="A17" s="18" t="inlineStr">
        <is>
          <t>0D</t>
        </is>
      </c>
      <c r="B17" s="18" t="inlineStr">
        <is>
          <t>0A</t>
        </is>
      </c>
      <c r="C17" s="20">
        <f>SUMIFS(ClubDetails!G:G, ClubDetails!C:C, A17, ClubDetails!D:D, B17)</f>
        <v/>
      </c>
      <c r="D17" s="20">
        <f>SUMIFS(ClubDetails!H:H, ClubDetails!C:C, A17, ClubDetails!D:D, B17)</f>
        <v/>
      </c>
      <c r="E17" s="20">
        <f>SUMIFS(ClubDetails!K:K, ClubDetails!C:C, A17, ClubDetails!D:D, B17)</f>
        <v/>
      </c>
      <c r="F17" s="23">
        <f>IF(C17=0, 0, E17/C17)</f>
        <v/>
      </c>
      <c r="G17" s="20">
        <f>SUMIFS(ClubDetails!L:L, ClubDetails!C:C, A17, ClubDetails!D:D, B17)</f>
        <v/>
      </c>
      <c r="H17" s="23">
        <f>IF(C17=0, 0, G17/C17)</f>
        <v/>
      </c>
      <c r="I17" s="20">
        <f>SUMIFS(ClubDetails!J:J, ClubDetails!C:C, A17, ClubDetails!D:D, B17)</f>
        <v/>
      </c>
      <c r="J17" s="20">
        <f>SUMIFS(ClubDetails!M:M, ClubDetails!C:C, A17, ClubDetails!D:D, B17)</f>
        <v/>
      </c>
    </row>
    <row r="18">
      <c r="A18" s="15" t="inlineStr">
        <is>
          <t>A</t>
        </is>
      </c>
      <c r="B18" s="15" t="inlineStr">
        <is>
          <t>01</t>
        </is>
      </c>
      <c r="C18" s="17">
        <f>SUMIFS(ClubDetails!G:G, ClubDetails!C:C, A18, ClubDetails!D:D, B18)</f>
        <v/>
      </c>
      <c r="D18" s="17">
        <f>SUMIFS(ClubDetails!H:H, ClubDetails!C:C, A18, ClubDetails!D:D, B18)</f>
        <v/>
      </c>
      <c r="E18" s="17">
        <f>SUMIFS(ClubDetails!K:K, ClubDetails!C:C, A18, ClubDetails!D:D, B18)</f>
        <v/>
      </c>
      <c r="F18" s="22">
        <f>IF(C18=0, 0, E18/C18)</f>
        <v/>
      </c>
      <c r="G18" s="17">
        <f>SUMIFS(ClubDetails!L:L, ClubDetails!C:C, A18, ClubDetails!D:D, B18)</f>
        <v/>
      </c>
      <c r="H18" s="22">
        <f>IF(C18=0, 0, G18/C18)</f>
        <v/>
      </c>
      <c r="I18" s="17">
        <f>SUMIFS(ClubDetails!J:J, ClubDetails!C:C, A18, ClubDetails!D:D, B18)</f>
        <v/>
      </c>
      <c r="J18" s="17">
        <f>SUMIFS(ClubDetails!M:M, ClubDetails!C:C, A18, ClubDetails!D:D, B18)</f>
        <v/>
      </c>
    </row>
    <row r="19">
      <c r="A19" s="18" t="inlineStr">
        <is>
          <t>A</t>
        </is>
      </c>
      <c r="B19" s="18" t="inlineStr">
        <is>
          <t>02</t>
        </is>
      </c>
      <c r="C19" s="20">
        <f>SUMIFS(ClubDetails!G:G, ClubDetails!C:C, A19, ClubDetails!D:D, B19)</f>
        <v/>
      </c>
      <c r="D19" s="20">
        <f>SUMIFS(ClubDetails!H:H, ClubDetails!C:C, A19, ClubDetails!D:D, B19)</f>
        <v/>
      </c>
      <c r="E19" s="20">
        <f>SUMIFS(ClubDetails!K:K, ClubDetails!C:C, A19, ClubDetails!D:D, B19)</f>
        <v/>
      </c>
      <c r="F19" s="23">
        <f>IF(C19=0, 0, E19/C19)</f>
        <v/>
      </c>
      <c r="G19" s="20">
        <f>SUMIFS(ClubDetails!L:L, ClubDetails!C:C, A19, ClubDetails!D:D, B19)</f>
        <v/>
      </c>
      <c r="H19" s="23">
        <f>IF(C19=0, 0, G19/C19)</f>
        <v/>
      </c>
      <c r="I19" s="20">
        <f>SUMIFS(ClubDetails!J:J, ClubDetails!C:C, A19, ClubDetails!D:D, B19)</f>
        <v/>
      </c>
      <c r="J19" s="20">
        <f>SUMIFS(ClubDetails!M:M, ClubDetails!C:C, A19, ClubDetails!D:D, B19)</f>
        <v/>
      </c>
    </row>
    <row r="20">
      <c r="A20" s="15" t="inlineStr">
        <is>
          <t>A</t>
        </is>
      </c>
      <c r="B20" s="15" t="inlineStr">
        <is>
          <t>03</t>
        </is>
      </c>
      <c r="C20" s="17">
        <f>SUMIFS(ClubDetails!G:G, ClubDetails!C:C, A20, ClubDetails!D:D, B20)</f>
        <v/>
      </c>
      <c r="D20" s="17">
        <f>SUMIFS(ClubDetails!H:H, ClubDetails!C:C, A20, ClubDetails!D:D, B20)</f>
        <v/>
      </c>
      <c r="E20" s="17">
        <f>SUMIFS(ClubDetails!K:K, ClubDetails!C:C, A20, ClubDetails!D:D, B20)</f>
        <v/>
      </c>
      <c r="F20" s="22">
        <f>IF(C20=0, 0, E20/C20)</f>
        <v/>
      </c>
      <c r="G20" s="17">
        <f>SUMIFS(ClubDetails!L:L, ClubDetails!C:C, A20, ClubDetails!D:D, B20)</f>
        <v/>
      </c>
      <c r="H20" s="22">
        <f>IF(C20=0, 0, G20/C20)</f>
        <v/>
      </c>
      <c r="I20" s="17">
        <f>SUMIFS(ClubDetails!J:J, ClubDetails!C:C, A20, ClubDetails!D:D, B20)</f>
        <v/>
      </c>
      <c r="J20" s="17">
        <f>SUMIFS(ClubDetails!M:M, ClubDetails!C:C, A20, ClubDetails!D:D, B20)</f>
        <v/>
      </c>
    </row>
    <row r="21">
      <c r="A21" s="18" t="inlineStr">
        <is>
          <t>A</t>
        </is>
      </c>
      <c r="B21" s="18" t="inlineStr">
        <is>
          <t>04</t>
        </is>
      </c>
      <c r="C21" s="20">
        <f>SUMIFS(ClubDetails!G:G, ClubDetails!C:C, A21, ClubDetails!D:D, B21)</f>
        <v/>
      </c>
      <c r="D21" s="20">
        <f>SUMIFS(ClubDetails!H:H, ClubDetails!C:C, A21, ClubDetails!D:D, B21)</f>
        <v/>
      </c>
      <c r="E21" s="20">
        <f>SUMIFS(ClubDetails!K:K, ClubDetails!C:C, A21, ClubDetails!D:D, B21)</f>
        <v/>
      </c>
      <c r="F21" s="23">
        <f>IF(C21=0, 0, E21/C21)</f>
        <v/>
      </c>
      <c r="G21" s="20">
        <f>SUMIFS(ClubDetails!L:L, ClubDetails!C:C, A21, ClubDetails!D:D, B21)</f>
        <v/>
      </c>
      <c r="H21" s="23">
        <f>IF(C21=0, 0, G21/C21)</f>
        <v/>
      </c>
      <c r="I21" s="20">
        <f>SUMIFS(ClubDetails!J:J, ClubDetails!C:C, A21, ClubDetails!D:D, B21)</f>
        <v/>
      </c>
      <c r="J21" s="20">
        <f>SUMIFS(ClubDetails!M:M, ClubDetails!C:C, A21, ClubDetails!D:D, B21)</f>
        <v/>
      </c>
    </row>
    <row r="22">
      <c r="A22" s="15" t="inlineStr">
        <is>
          <t>B</t>
        </is>
      </c>
      <c r="B22" s="15" t="inlineStr">
        <is>
          <t>01</t>
        </is>
      </c>
      <c r="C22" s="17">
        <f>SUMIFS(ClubDetails!G:G, ClubDetails!C:C, A22, ClubDetails!D:D, B22)</f>
        <v/>
      </c>
      <c r="D22" s="17">
        <f>SUMIFS(ClubDetails!H:H, ClubDetails!C:C, A22, ClubDetails!D:D, B22)</f>
        <v/>
      </c>
      <c r="E22" s="17">
        <f>SUMIFS(ClubDetails!K:K, ClubDetails!C:C, A22, ClubDetails!D:D, B22)</f>
        <v/>
      </c>
      <c r="F22" s="22">
        <f>IF(C22=0, 0, E22/C22)</f>
        <v/>
      </c>
      <c r="G22" s="17">
        <f>SUMIFS(ClubDetails!L:L, ClubDetails!C:C, A22, ClubDetails!D:D, B22)</f>
        <v/>
      </c>
      <c r="H22" s="22">
        <f>IF(C22=0, 0, G22/C22)</f>
        <v/>
      </c>
      <c r="I22" s="17">
        <f>SUMIFS(ClubDetails!J:J, ClubDetails!C:C, A22, ClubDetails!D:D, B22)</f>
        <v/>
      </c>
      <c r="J22" s="17">
        <f>SUMIFS(ClubDetails!M:M, ClubDetails!C:C, A22, ClubDetails!D:D, B22)</f>
        <v/>
      </c>
    </row>
    <row r="23">
      <c r="A23" s="18" t="inlineStr">
        <is>
          <t>B</t>
        </is>
      </c>
      <c r="B23" s="18" t="inlineStr">
        <is>
          <t>02</t>
        </is>
      </c>
      <c r="C23" s="20">
        <f>SUMIFS(ClubDetails!G:G, ClubDetails!C:C, A23, ClubDetails!D:D, B23)</f>
        <v/>
      </c>
      <c r="D23" s="20">
        <f>SUMIFS(ClubDetails!H:H, ClubDetails!C:C, A23, ClubDetails!D:D, B23)</f>
        <v/>
      </c>
      <c r="E23" s="20">
        <f>SUMIFS(ClubDetails!K:K, ClubDetails!C:C, A23, ClubDetails!D:D, B23)</f>
        <v/>
      </c>
      <c r="F23" s="23">
        <f>IF(C23=0, 0, E23/C23)</f>
        <v/>
      </c>
      <c r="G23" s="20">
        <f>SUMIFS(ClubDetails!L:L, ClubDetails!C:C, A23, ClubDetails!D:D, B23)</f>
        <v/>
      </c>
      <c r="H23" s="23">
        <f>IF(C23=0, 0, G23/C23)</f>
        <v/>
      </c>
      <c r="I23" s="20">
        <f>SUMIFS(ClubDetails!J:J, ClubDetails!C:C, A23, ClubDetails!D:D, B23)</f>
        <v/>
      </c>
      <c r="J23" s="20">
        <f>SUMIFS(ClubDetails!M:M, ClubDetails!C:C, A23, ClubDetails!D:D, B23)</f>
        <v/>
      </c>
    </row>
    <row r="24">
      <c r="A24" s="15" t="inlineStr">
        <is>
          <t>B</t>
        </is>
      </c>
      <c r="B24" s="15" t="inlineStr">
        <is>
          <t>03</t>
        </is>
      </c>
      <c r="C24" s="17">
        <f>SUMIFS(ClubDetails!G:G, ClubDetails!C:C, A24, ClubDetails!D:D, B24)</f>
        <v/>
      </c>
      <c r="D24" s="17">
        <f>SUMIFS(ClubDetails!H:H, ClubDetails!C:C, A24, ClubDetails!D:D, B24)</f>
        <v/>
      </c>
      <c r="E24" s="17">
        <f>SUMIFS(ClubDetails!K:K, ClubDetails!C:C, A24, ClubDetails!D:D, B24)</f>
        <v/>
      </c>
      <c r="F24" s="22">
        <f>IF(C24=0, 0, E24/C24)</f>
        <v/>
      </c>
      <c r="G24" s="17">
        <f>SUMIFS(ClubDetails!L:L, ClubDetails!C:C, A24, ClubDetails!D:D, B24)</f>
        <v/>
      </c>
      <c r="H24" s="22">
        <f>IF(C24=0, 0, G24/C24)</f>
        <v/>
      </c>
      <c r="I24" s="17">
        <f>SUMIFS(ClubDetails!J:J, ClubDetails!C:C, A24, ClubDetails!D:D, B24)</f>
        <v/>
      </c>
      <c r="J24" s="17">
        <f>SUMIFS(ClubDetails!M:M, ClubDetails!C:C, A24, ClubDetails!D:D, B24)</f>
        <v/>
      </c>
    </row>
    <row r="25">
      <c r="A25" s="18" t="inlineStr">
        <is>
          <t>B</t>
        </is>
      </c>
      <c r="B25" s="18" t="inlineStr">
        <is>
          <t>04</t>
        </is>
      </c>
      <c r="C25" s="20">
        <f>SUMIFS(ClubDetails!G:G, ClubDetails!C:C, A25, ClubDetails!D:D, B25)</f>
        <v/>
      </c>
      <c r="D25" s="20">
        <f>SUMIFS(ClubDetails!H:H, ClubDetails!C:C, A25, ClubDetails!D:D, B25)</f>
        <v/>
      </c>
      <c r="E25" s="20">
        <f>SUMIFS(ClubDetails!K:K, ClubDetails!C:C, A25, ClubDetails!D:D, B25)</f>
        <v/>
      </c>
      <c r="F25" s="23">
        <f>IF(C25=0, 0, E25/C25)</f>
        <v/>
      </c>
      <c r="G25" s="20">
        <f>SUMIFS(ClubDetails!L:L, ClubDetails!C:C, A25, ClubDetails!D:D, B25)</f>
        <v/>
      </c>
      <c r="H25" s="23">
        <f>IF(C25=0, 0, G25/C25)</f>
        <v/>
      </c>
      <c r="I25" s="20">
        <f>SUMIFS(ClubDetails!J:J, ClubDetails!C:C, A25, ClubDetails!D:D, B25)</f>
        <v/>
      </c>
      <c r="J25" s="20">
        <f>SUMIFS(ClubDetails!M:M, ClubDetails!C:C, A25, ClubDetails!D:D, B25)</f>
        <v/>
      </c>
    </row>
    <row r="26">
      <c r="A26" s="15" t="inlineStr">
        <is>
          <t>C</t>
        </is>
      </c>
      <c r="B26" s="15" t="inlineStr">
        <is>
          <t>01</t>
        </is>
      </c>
      <c r="C26" s="17">
        <f>SUMIFS(ClubDetails!G:G, ClubDetails!C:C, A26, ClubDetails!D:D, B26)</f>
        <v/>
      </c>
      <c r="D26" s="17">
        <f>SUMIFS(ClubDetails!H:H, ClubDetails!C:C, A26, ClubDetails!D:D, B26)</f>
        <v/>
      </c>
      <c r="E26" s="17">
        <f>SUMIFS(ClubDetails!K:K, ClubDetails!C:C, A26, ClubDetails!D:D, B26)</f>
        <v/>
      </c>
      <c r="F26" s="22">
        <f>IF(C26=0, 0, E26/C26)</f>
        <v/>
      </c>
      <c r="G26" s="17">
        <f>SUMIFS(ClubDetails!L:L, ClubDetails!C:C, A26, ClubDetails!D:D, B26)</f>
        <v/>
      </c>
      <c r="H26" s="22">
        <f>IF(C26=0, 0, G26/C26)</f>
        <v/>
      </c>
      <c r="I26" s="17">
        <f>SUMIFS(ClubDetails!J:J, ClubDetails!C:C, A26, ClubDetails!D:D, B26)</f>
        <v/>
      </c>
      <c r="J26" s="17">
        <f>SUMIFS(ClubDetails!M:M, ClubDetails!C:C, A26, ClubDetails!D:D, B26)</f>
        <v/>
      </c>
    </row>
    <row r="27">
      <c r="A27" s="18" t="inlineStr">
        <is>
          <t>C</t>
        </is>
      </c>
      <c r="B27" s="18" t="inlineStr">
        <is>
          <t>02</t>
        </is>
      </c>
      <c r="C27" s="20">
        <f>SUMIFS(ClubDetails!G:G, ClubDetails!C:C, A27, ClubDetails!D:D, B27)</f>
        <v/>
      </c>
      <c r="D27" s="20">
        <f>SUMIFS(ClubDetails!H:H, ClubDetails!C:C, A27, ClubDetails!D:D, B27)</f>
        <v/>
      </c>
      <c r="E27" s="20">
        <f>SUMIFS(ClubDetails!K:K, ClubDetails!C:C, A27, ClubDetails!D:D, B27)</f>
        <v/>
      </c>
      <c r="F27" s="23">
        <f>IF(C27=0, 0, E27/C27)</f>
        <v/>
      </c>
      <c r="G27" s="20">
        <f>SUMIFS(ClubDetails!L:L, ClubDetails!C:C, A27, ClubDetails!D:D, B27)</f>
        <v/>
      </c>
      <c r="H27" s="23">
        <f>IF(C27=0, 0, G27/C27)</f>
        <v/>
      </c>
      <c r="I27" s="20">
        <f>SUMIFS(ClubDetails!J:J, ClubDetails!C:C, A27, ClubDetails!D:D, B27)</f>
        <v/>
      </c>
      <c r="J27" s="20">
        <f>SUMIFS(ClubDetails!M:M, ClubDetails!C:C, A27, ClubDetails!D:D, B27)</f>
        <v/>
      </c>
    </row>
    <row r="28">
      <c r="A28" s="15" t="inlineStr">
        <is>
          <t>C</t>
        </is>
      </c>
      <c r="B28" s="15" t="inlineStr">
        <is>
          <t>03</t>
        </is>
      </c>
      <c r="C28" s="17">
        <f>SUMIFS(ClubDetails!G:G, ClubDetails!C:C, A28, ClubDetails!D:D, B28)</f>
        <v/>
      </c>
      <c r="D28" s="17">
        <f>SUMIFS(ClubDetails!H:H, ClubDetails!C:C, A28, ClubDetails!D:D, B28)</f>
        <v/>
      </c>
      <c r="E28" s="17">
        <f>SUMIFS(ClubDetails!K:K, ClubDetails!C:C, A28, ClubDetails!D:D, B28)</f>
        <v/>
      </c>
      <c r="F28" s="22">
        <f>IF(C28=0, 0, E28/C28)</f>
        <v/>
      </c>
      <c r="G28" s="17">
        <f>SUMIFS(ClubDetails!L:L, ClubDetails!C:C, A28, ClubDetails!D:D, B28)</f>
        <v/>
      </c>
      <c r="H28" s="22">
        <f>IF(C28=0, 0, G28/C28)</f>
        <v/>
      </c>
      <c r="I28" s="17">
        <f>SUMIFS(ClubDetails!J:J, ClubDetails!C:C, A28, ClubDetails!D:D, B28)</f>
        <v/>
      </c>
      <c r="J28" s="17">
        <f>SUMIFS(ClubDetails!M:M, ClubDetails!C:C, A28, ClubDetails!D:D, B28)</f>
        <v/>
      </c>
    </row>
    <row r="29">
      <c r="A29" s="18" t="inlineStr">
        <is>
          <t>C</t>
        </is>
      </c>
      <c r="B29" s="18" t="inlineStr">
        <is>
          <t>04</t>
        </is>
      </c>
      <c r="C29" s="20">
        <f>SUMIFS(ClubDetails!G:G, ClubDetails!C:C, A29, ClubDetails!D:D, B29)</f>
        <v/>
      </c>
      <c r="D29" s="20">
        <f>SUMIFS(ClubDetails!H:H, ClubDetails!C:C, A29, ClubDetails!D:D, B29)</f>
        <v/>
      </c>
      <c r="E29" s="20">
        <f>SUMIFS(ClubDetails!K:K, ClubDetails!C:C, A29, ClubDetails!D:D, B29)</f>
        <v/>
      </c>
      <c r="F29" s="23">
        <f>IF(C29=0, 0, E29/C29)</f>
        <v/>
      </c>
      <c r="G29" s="20">
        <f>SUMIFS(ClubDetails!L:L, ClubDetails!C:C, A29, ClubDetails!D:D, B29)</f>
        <v/>
      </c>
      <c r="H29" s="23">
        <f>IF(C29=0, 0, G29/C29)</f>
        <v/>
      </c>
      <c r="I29" s="20">
        <f>SUMIFS(ClubDetails!J:J, ClubDetails!C:C, A29, ClubDetails!D:D, B29)</f>
        <v/>
      </c>
      <c r="J29" s="20">
        <f>SUMIFS(ClubDetails!M:M, ClubDetails!C:C, A29, ClubDetails!D:D, B29)</f>
        <v/>
      </c>
    </row>
    <row r="30">
      <c r="A30" s="15" t="inlineStr">
        <is>
          <t>D</t>
        </is>
      </c>
      <c r="B30" s="15" t="inlineStr">
        <is>
          <t>01</t>
        </is>
      </c>
      <c r="C30" s="17">
        <f>SUMIFS(ClubDetails!G:G, ClubDetails!C:C, A30, ClubDetails!D:D, B30)</f>
        <v/>
      </c>
      <c r="D30" s="17">
        <f>SUMIFS(ClubDetails!H:H, ClubDetails!C:C, A30, ClubDetails!D:D, B30)</f>
        <v/>
      </c>
      <c r="E30" s="17">
        <f>SUMIFS(ClubDetails!K:K, ClubDetails!C:C, A30, ClubDetails!D:D, B30)</f>
        <v/>
      </c>
      <c r="F30" s="22">
        <f>IF(C30=0, 0, E30/C30)</f>
        <v/>
      </c>
      <c r="G30" s="17">
        <f>SUMIFS(ClubDetails!L:L, ClubDetails!C:C, A30, ClubDetails!D:D, B30)</f>
        <v/>
      </c>
      <c r="H30" s="22">
        <f>IF(C30=0, 0, G30/C30)</f>
        <v/>
      </c>
      <c r="I30" s="17">
        <f>SUMIFS(ClubDetails!J:J, ClubDetails!C:C, A30, ClubDetails!D:D, B30)</f>
        <v/>
      </c>
      <c r="J30" s="17">
        <f>SUMIFS(ClubDetails!M:M, ClubDetails!C:C, A30, ClubDetails!D:D, B30)</f>
        <v/>
      </c>
    </row>
    <row r="31">
      <c r="A31" s="18" t="inlineStr">
        <is>
          <t>D</t>
        </is>
      </c>
      <c r="B31" s="18" t="inlineStr">
        <is>
          <t>02</t>
        </is>
      </c>
      <c r="C31" s="20">
        <f>SUMIFS(ClubDetails!G:G, ClubDetails!C:C, A31, ClubDetails!D:D, B31)</f>
        <v/>
      </c>
      <c r="D31" s="20">
        <f>SUMIFS(ClubDetails!H:H, ClubDetails!C:C, A31, ClubDetails!D:D, B31)</f>
        <v/>
      </c>
      <c r="E31" s="20">
        <f>SUMIFS(ClubDetails!K:K, ClubDetails!C:C, A31, ClubDetails!D:D, B31)</f>
        <v/>
      </c>
      <c r="F31" s="23">
        <f>IF(C31=0, 0, E31/C31)</f>
        <v/>
      </c>
      <c r="G31" s="20">
        <f>SUMIFS(ClubDetails!L:L, ClubDetails!C:C, A31, ClubDetails!D:D, B31)</f>
        <v/>
      </c>
      <c r="H31" s="23">
        <f>IF(C31=0, 0, G31/C31)</f>
        <v/>
      </c>
      <c r="I31" s="20">
        <f>SUMIFS(ClubDetails!J:J, ClubDetails!C:C, A31, ClubDetails!D:D, B31)</f>
        <v/>
      </c>
      <c r="J31" s="20">
        <f>SUMIFS(ClubDetails!M:M, ClubDetails!C:C, A31, ClubDetails!D:D, B31)</f>
        <v/>
      </c>
    </row>
    <row r="32">
      <c r="A32" s="15" t="inlineStr">
        <is>
          <t>D</t>
        </is>
      </c>
      <c r="B32" s="15" t="inlineStr">
        <is>
          <t>03</t>
        </is>
      </c>
      <c r="C32" s="17">
        <f>SUMIFS(ClubDetails!G:G, ClubDetails!C:C, A32, ClubDetails!D:D, B32)</f>
        <v/>
      </c>
      <c r="D32" s="17">
        <f>SUMIFS(ClubDetails!H:H, ClubDetails!C:C, A32, ClubDetails!D:D, B32)</f>
        <v/>
      </c>
      <c r="E32" s="17">
        <f>SUMIFS(ClubDetails!K:K, ClubDetails!C:C, A32, ClubDetails!D:D, B32)</f>
        <v/>
      </c>
      <c r="F32" s="22">
        <f>IF(C32=0, 0, E32/C32)</f>
        <v/>
      </c>
      <c r="G32" s="17">
        <f>SUMIFS(ClubDetails!L:L, ClubDetails!C:C, A32, ClubDetails!D:D, B32)</f>
        <v/>
      </c>
      <c r="H32" s="22">
        <f>IF(C32=0, 0, G32/C32)</f>
        <v/>
      </c>
      <c r="I32" s="17">
        <f>SUMIFS(ClubDetails!J:J, ClubDetails!C:C, A32, ClubDetails!D:D, B32)</f>
        <v/>
      </c>
      <c r="J32" s="17">
        <f>SUMIFS(ClubDetails!M:M, ClubDetails!C:C, A32, ClubDetails!D:D, B32)</f>
        <v/>
      </c>
    </row>
    <row r="33">
      <c r="A33" s="18" t="inlineStr">
        <is>
          <t>D</t>
        </is>
      </c>
      <c r="B33" s="18" t="inlineStr">
        <is>
          <t>04</t>
        </is>
      </c>
      <c r="C33" s="20">
        <f>SUMIFS(ClubDetails!G:G, ClubDetails!C:C, A33, ClubDetails!D:D, B33)</f>
        <v/>
      </c>
      <c r="D33" s="20">
        <f>SUMIFS(ClubDetails!H:H, ClubDetails!C:C, A33, ClubDetails!D:D, B33)</f>
        <v/>
      </c>
      <c r="E33" s="20">
        <f>SUMIFS(ClubDetails!K:K, ClubDetails!C:C, A33, ClubDetails!D:D, B33)</f>
        <v/>
      </c>
      <c r="F33" s="23">
        <f>IF(C33=0, 0, E33/C33)</f>
        <v/>
      </c>
      <c r="G33" s="20">
        <f>SUMIFS(ClubDetails!L:L, ClubDetails!C:C, A33, ClubDetails!D:D, B33)</f>
        <v/>
      </c>
      <c r="H33" s="23">
        <f>IF(C33=0, 0, G33/C33)</f>
        <v/>
      </c>
      <c r="I33" s="20">
        <f>SUMIFS(ClubDetails!J:J, ClubDetails!C:C, A33, ClubDetails!D:D, B33)</f>
        <v/>
      </c>
      <c r="J33" s="20">
        <f>SUMIFS(ClubDetails!M:M, ClubDetails!C:C, A33, ClubDetails!D:D, B33)</f>
        <v/>
      </c>
    </row>
    <row r="34">
      <c r="A34" s="15" t="inlineStr">
        <is>
          <t>E</t>
        </is>
      </c>
      <c r="B34" s="15" t="inlineStr">
        <is>
          <t>01</t>
        </is>
      </c>
      <c r="C34" s="17">
        <f>SUMIFS(ClubDetails!G:G, ClubDetails!C:C, A34, ClubDetails!D:D, B34)</f>
        <v/>
      </c>
      <c r="D34" s="17">
        <f>SUMIFS(ClubDetails!H:H, ClubDetails!C:C, A34, ClubDetails!D:D, B34)</f>
        <v/>
      </c>
      <c r="E34" s="17">
        <f>SUMIFS(ClubDetails!K:K, ClubDetails!C:C, A34, ClubDetails!D:D, B34)</f>
        <v/>
      </c>
      <c r="F34" s="22">
        <f>IF(C34=0, 0, E34/C34)</f>
        <v/>
      </c>
      <c r="G34" s="17">
        <f>SUMIFS(ClubDetails!L:L, ClubDetails!C:C, A34, ClubDetails!D:D, B34)</f>
        <v/>
      </c>
      <c r="H34" s="22">
        <f>IF(C34=0, 0, G34/C34)</f>
        <v/>
      </c>
      <c r="I34" s="17">
        <f>SUMIFS(ClubDetails!J:J, ClubDetails!C:C, A34, ClubDetails!D:D, B34)</f>
        <v/>
      </c>
      <c r="J34" s="17">
        <f>SUMIFS(ClubDetails!M:M, ClubDetails!C:C, A34, ClubDetails!D:D, B34)</f>
        <v/>
      </c>
    </row>
    <row r="35">
      <c r="A35" s="18" t="inlineStr">
        <is>
          <t>E</t>
        </is>
      </c>
      <c r="B35" s="18" t="inlineStr">
        <is>
          <t>02</t>
        </is>
      </c>
      <c r="C35" s="20">
        <f>SUMIFS(ClubDetails!G:G, ClubDetails!C:C, A35, ClubDetails!D:D, B35)</f>
        <v/>
      </c>
      <c r="D35" s="20">
        <f>SUMIFS(ClubDetails!H:H, ClubDetails!C:C, A35, ClubDetails!D:D, B35)</f>
        <v/>
      </c>
      <c r="E35" s="20">
        <f>SUMIFS(ClubDetails!K:K, ClubDetails!C:C, A35, ClubDetails!D:D, B35)</f>
        <v/>
      </c>
      <c r="F35" s="23">
        <f>IF(C35=0, 0, E35/C35)</f>
        <v/>
      </c>
      <c r="G35" s="20">
        <f>SUMIFS(ClubDetails!L:L, ClubDetails!C:C, A35, ClubDetails!D:D, B35)</f>
        <v/>
      </c>
      <c r="H35" s="23">
        <f>IF(C35=0, 0, G35/C35)</f>
        <v/>
      </c>
      <c r="I35" s="20">
        <f>SUMIFS(ClubDetails!J:J, ClubDetails!C:C, A35, ClubDetails!D:D, B35)</f>
        <v/>
      </c>
      <c r="J35" s="20">
        <f>SUMIFS(ClubDetails!M:M, ClubDetails!C:C, A35, ClubDetails!D:D, B35)</f>
        <v/>
      </c>
    </row>
    <row r="36">
      <c r="A36" s="15" t="inlineStr">
        <is>
          <t>E</t>
        </is>
      </c>
      <c r="B36" s="15" t="inlineStr">
        <is>
          <t>03</t>
        </is>
      </c>
      <c r="C36" s="17">
        <f>SUMIFS(ClubDetails!G:G, ClubDetails!C:C, A36, ClubDetails!D:D, B36)</f>
        <v/>
      </c>
      <c r="D36" s="17">
        <f>SUMIFS(ClubDetails!H:H, ClubDetails!C:C, A36, ClubDetails!D:D, B36)</f>
        <v/>
      </c>
      <c r="E36" s="17">
        <f>SUMIFS(ClubDetails!K:K, ClubDetails!C:C, A36, ClubDetails!D:D, B36)</f>
        <v/>
      </c>
      <c r="F36" s="22">
        <f>IF(C36=0, 0, E36/C36)</f>
        <v/>
      </c>
      <c r="G36" s="17">
        <f>SUMIFS(ClubDetails!L:L, ClubDetails!C:C, A36, ClubDetails!D:D, B36)</f>
        <v/>
      </c>
      <c r="H36" s="22">
        <f>IF(C36=0, 0, G36/C36)</f>
        <v/>
      </c>
      <c r="I36" s="17">
        <f>SUMIFS(ClubDetails!J:J, ClubDetails!C:C, A36, ClubDetails!D:D, B36)</f>
        <v/>
      </c>
      <c r="J36" s="17">
        <f>SUMIFS(ClubDetails!M:M, ClubDetails!C:C, A36, ClubDetails!D:D, B36)</f>
        <v/>
      </c>
    </row>
    <row r="37">
      <c r="A37" s="18" t="inlineStr">
        <is>
          <t>E</t>
        </is>
      </c>
      <c r="B37" s="18" t="inlineStr">
        <is>
          <t>04</t>
        </is>
      </c>
      <c r="C37" s="20">
        <f>SUMIFS(ClubDetails!G:G, ClubDetails!C:C, A37, ClubDetails!D:D, B37)</f>
        <v/>
      </c>
      <c r="D37" s="20">
        <f>SUMIFS(ClubDetails!H:H, ClubDetails!C:C, A37, ClubDetails!D:D, B37)</f>
        <v/>
      </c>
      <c r="E37" s="20">
        <f>SUMIFS(ClubDetails!K:K, ClubDetails!C:C, A37, ClubDetails!D:D, B37)</f>
        <v/>
      </c>
      <c r="F37" s="23">
        <f>IF(C37=0, 0, E37/C37)</f>
        <v/>
      </c>
      <c r="G37" s="20">
        <f>SUMIFS(ClubDetails!L:L, ClubDetails!C:C, A37, ClubDetails!D:D, B37)</f>
        <v/>
      </c>
      <c r="H37" s="23">
        <f>IF(C37=0, 0, G37/C37)</f>
        <v/>
      </c>
      <c r="I37" s="20">
        <f>SUMIFS(ClubDetails!J:J, ClubDetails!C:C, A37, ClubDetails!D:D, B37)</f>
        <v/>
      </c>
      <c r="J37" s="20">
        <f>SUMIFS(ClubDetails!M:M, ClubDetails!C:C, A37, ClubDetails!D:D, B37)</f>
        <v/>
      </c>
    </row>
    <row r="38">
      <c r="A38" s="15" t="inlineStr">
        <is>
          <t>F</t>
        </is>
      </c>
      <c r="B38" s="15" t="inlineStr">
        <is>
          <t>01</t>
        </is>
      </c>
      <c r="C38" s="17">
        <f>SUMIFS(ClubDetails!G:G, ClubDetails!C:C, A38, ClubDetails!D:D, B38)</f>
        <v/>
      </c>
      <c r="D38" s="17">
        <f>SUMIFS(ClubDetails!H:H, ClubDetails!C:C, A38, ClubDetails!D:D, B38)</f>
        <v/>
      </c>
      <c r="E38" s="17">
        <f>SUMIFS(ClubDetails!K:K, ClubDetails!C:C, A38, ClubDetails!D:D, B38)</f>
        <v/>
      </c>
      <c r="F38" s="22">
        <f>IF(C38=0, 0, E38/C38)</f>
        <v/>
      </c>
      <c r="G38" s="17">
        <f>SUMIFS(ClubDetails!L:L, ClubDetails!C:C, A38, ClubDetails!D:D, B38)</f>
        <v/>
      </c>
      <c r="H38" s="22">
        <f>IF(C38=0, 0, G38/C38)</f>
        <v/>
      </c>
      <c r="I38" s="17">
        <f>SUMIFS(ClubDetails!J:J, ClubDetails!C:C, A38, ClubDetails!D:D, B38)</f>
        <v/>
      </c>
      <c r="J38" s="17">
        <f>SUMIFS(ClubDetails!M:M, ClubDetails!C:C, A38, ClubDetails!D:D, B38)</f>
        <v/>
      </c>
    </row>
    <row r="39">
      <c r="A39" s="18" t="inlineStr">
        <is>
          <t>F</t>
        </is>
      </c>
      <c r="B39" s="18" t="inlineStr">
        <is>
          <t>02</t>
        </is>
      </c>
      <c r="C39" s="20">
        <f>SUMIFS(ClubDetails!G:G, ClubDetails!C:C, A39, ClubDetails!D:D, B39)</f>
        <v/>
      </c>
      <c r="D39" s="20">
        <f>SUMIFS(ClubDetails!H:H, ClubDetails!C:C, A39, ClubDetails!D:D, B39)</f>
        <v/>
      </c>
      <c r="E39" s="20">
        <f>SUMIFS(ClubDetails!K:K, ClubDetails!C:C, A39, ClubDetails!D:D, B39)</f>
        <v/>
      </c>
      <c r="F39" s="23">
        <f>IF(C39=0, 0, E39/C39)</f>
        <v/>
      </c>
      <c r="G39" s="20">
        <f>SUMIFS(ClubDetails!L:L, ClubDetails!C:C, A39, ClubDetails!D:D, B39)</f>
        <v/>
      </c>
      <c r="H39" s="23">
        <f>IF(C39=0, 0, G39/C39)</f>
        <v/>
      </c>
      <c r="I39" s="20">
        <f>SUMIFS(ClubDetails!J:J, ClubDetails!C:C, A39, ClubDetails!D:D, B39)</f>
        <v/>
      </c>
      <c r="J39" s="20">
        <f>SUMIFS(ClubDetails!M:M, ClubDetails!C:C, A39, ClubDetails!D:D, B39)</f>
        <v/>
      </c>
    </row>
    <row r="40">
      <c r="A40" s="15" t="inlineStr">
        <is>
          <t>F</t>
        </is>
      </c>
      <c r="B40" s="15" t="inlineStr">
        <is>
          <t>03</t>
        </is>
      </c>
      <c r="C40" s="17">
        <f>SUMIFS(ClubDetails!G:G, ClubDetails!C:C, A40, ClubDetails!D:D, B40)</f>
        <v/>
      </c>
      <c r="D40" s="17">
        <f>SUMIFS(ClubDetails!H:H, ClubDetails!C:C, A40, ClubDetails!D:D, B40)</f>
        <v/>
      </c>
      <c r="E40" s="17">
        <f>SUMIFS(ClubDetails!K:K, ClubDetails!C:C, A40, ClubDetails!D:D, B40)</f>
        <v/>
      </c>
      <c r="F40" s="22">
        <f>IF(C40=0, 0, E40/C40)</f>
        <v/>
      </c>
      <c r="G40" s="17">
        <f>SUMIFS(ClubDetails!L:L, ClubDetails!C:C, A40, ClubDetails!D:D, B40)</f>
        <v/>
      </c>
      <c r="H40" s="22">
        <f>IF(C40=0, 0, G40/C40)</f>
        <v/>
      </c>
      <c r="I40" s="17">
        <f>SUMIFS(ClubDetails!J:J, ClubDetails!C:C, A40, ClubDetails!D:D, B40)</f>
        <v/>
      </c>
      <c r="J40" s="17">
        <f>SUMIFS(ClubDetails!M:M, ClubDetails!C:C, A40, ClubDetails!D:D, B40)</f>
        <v/>
      </c>
    </row>
    <row r="41">
      <c r="A41" s="18" t="inlineStr">
        <is>
          <t>F</t>
        </is>
      </c>
      <c r="B41" s="18" t="inlineStr">
        <is>
          <t>04</t>
        </is>
      </c>
      <c r="C41" s="20">
        <f>SUMIFS(ClubDetails!G:G, ClubDetails!C:C, A41, ClubDetails!D:D, B41)</f>
        <v/>
      </c>
      <c r="D41" s="20">
        <f>SUMIFS(ClubDetails!H:H, ClubDetails!C:C, A41, ClubDetails!D:D, B41)</f>
        <v/>
      </c>
      <c r="E41" s="20">
        <f>SUMIFS(ClubDetails!K:K, ClubDetails!C:C, A41, ClubDetails!D:D, B41)</f>
        <v/>
      </c>
      <c r="F41" s="23">
        <f>IF(C41=0, 0, E41/C41)</f>
        <v/>
      </c>
      <c r="G41" s="20">
        <f>SUMIFS(ClubDetails!L:L, ClubDetails!C:C, A41, ClubDetails!D:D, B41)</f>
        <v/>
      </c>
      <c r="H41" s="23">
        <f>IF(C41=0, 0, G41/C41)</f>
        <v/>
      </c>
      <c r="I41" s="20">
        <f>SUMIFS(ClubDetails!J:J, ClubDetails!C:C, A41, ClubDetails!D:D, B41)</f>
        <v/>
      </c>
      <c r="J41" s="20">
        <f>SUMIFS(ClubDetails!M:M, ClubDetails!C:C, A41, ClubDetails!D:D, B41)</f>
        <v/>
      </c>
    </row>
    <row r="42">
      <c r="A42" s="15" t="inlineStr">
        <is>
          <t>G</t>
        </is>
      </c>
      <c r="B42" s="15" t="inlineStr">
        <is>
          <t>01</t>
        </is>
      </c>
      <c r="C42" s="17">
        <f>SUMIFS(ClubDetails!G:G, ClubDetails!C:C, A42, ClubDetails!D:D, B42)</f>
        <v/>
      </c>
      <c r="D42" s="17">
        <f>SUMIFS(ClubDetails!H:H, ClubDetails!C:C, A42, ClubDetails!D:D, B42)</f>
        <v/>
      </c>
      <c r="E42" s="17">
        <f>SUMIFS(ClubDetails!K:K, ClubDetails!C:C, A42, ClubDetails!D:D, B42)</f>
        <v/>
      </c>
      <c r="F42" s="22">
        <f>IF(C42=0, 0, E42/C42)</f>
        <v/>
      </c>
      <c r="G42" s="17">
        <f>SUMIFS(ClubDetails!L:L, ClubDetails!C:C, A42, ClubDetails!D:D, B42)</f>
        <v/>
      </c>
      <c r="H42" s="22">
        <f>IF(C42=0, 0, G42/C42)</f>
        <v/>
      </c>
      <c r="I42" s="17">
        <f>SUMIFS(ClubDetails!J:J, ClubDetails!C:C, A42, ClubDetails!D:D, B42)</f>
        <v/>
      </c>
      <c r="J42" s="17">
        <f>SUMIFS(ClubDetails!M:M, ClubDetails!C:C, A42, ClubDetails!D:D, B42)</f>
        <v/>
      </c>
    </row>
    <row r="43">
      <c r="A43" s="18" t="inlineStr">
        <is>
          <t>G</t>
        </is>
      </c>
      <c r="B43" s="18" t="inlineStr">
        <is>
          <t>02</t>
        </is>
      </c>
      <c r="C43" s="20">
        <f>SUMIFS(ClubDetails!G:G, ClubDetails!C:C, A43, ClubDetails!D:D, B43)</f>
        <v/>
      </c>
      <c r="D43" s="20">
        <f>SUMIFS(ClubDetails!H:H, ClubDetails!C:C, A43, ClubDetails!D:D, B43)</f>
        <v/>
      </c>
      <c r="E43" s="20">
        <f>SUMIFS(ClubDetails!K:K, ClubDetails!C:C, A43, ClubDetails!D:D, B43)</f>
        <v/>
      </c>
      <c r="F43" s="23">
        <f>IF(C43=0, 0, E43/C43)</f>
        <v/>
      </c>
      <c r="G43" s="20">
        <f>SUMIFS(ClubDetails!L:L, ClubDetails!C:C, A43, ClubDetails!D:D, B43)</f>
        <v/>
      </c>
      <c r="H43" s="23">
        <f>IF(C43=0, 0, G43/C43)</f>
        <v/>
      </c>
      <c r="I43" s="20">
        <f>SUMIFS(ClubDetails!J:J, ClubDetails!C:C, A43, ClubDetails!D:D, B43)</f>
        <v/>
      </c>
      <c r="J43" s="20">
        <f>SUMIFS(ClubDetails!M:M, ClubDetails!C:C, A43, ClubDetails!D:D, B43)</f>
        <v/>
      </c>
    </row>
    <row r="44">
      <c r="A44" s="15" t="inlineStr">
        <is>
          <t>G</t>
        </is>
      </c>
      <c r="B44" s="15" t="inlineStr">
        <is>
          <t>03</t>
        </is>
      </c>
      <c r="C44" s="17">
        <f>SUMIFS(ClubDetails!G:G, ClubDetails!C:C, A44, ClubDetails!D:D, B44)</f>
        <v/>
      </c>
      <c r="D44" s="17">
        <f>SUMIFS(ClubDetails!H:H, ClubDetails!C:C, A44, ClubDetails!D:D, B44)</f>
        <v/>
      </c>
      <c r="E44" s="17">
        <f>SUMIFS(ClubDetails!K:K, ClubDetails!C:C, A44, ClubDetails!D:D, B44)</f>
        <v/>
      </c>
      <c r="F44" s="22">
        <f>IF(C44=0, 0, E44/C44)</f>
        <v/>
      </c>
      <c r="G44" s="17">
        <f>SUMIFS(ClubDetails!L:L, ClubDetails!C:C, A44, ClubDetails!D:D, B44)</f>
        <v/>
      </c>
      <c r="H44" s="22">
        <f>IF(C44=0, 0, G44/C44)</f>
        <v/>
      </c>
      <c r="I44" s="17">
        <f>SUMIFS(ClubDetails!J:J, ClubDetails!C:C, A44, ClubDetails!D:D, B44)</f>
        <v/>
      </c>
      <c r="J44" s="17">
        <f>SUMIFS(ClubDetails!M:M, ClubDetails!C:C, A44, ClubDetails!D:D, B44)</f>
        <v/>
      </c>
    </row>
    <row r="45">
      <c r="A45" s="18" t="inlineStr">
        <is>
          <t>G</t>
        </is>
      </c>
      <c r="B45" s="18" t="inlineStr">
        <is>
          <t>04</t>
        </is>
      </c>
      <c r="C45" s="20">
        <f>SUMIFS(ClubDetails!G:G, ClubDetails!C:C, A45, ClubDetails!D:D, B45)</f>
        <v/>
      </c>
      <c r="D45" s="20">
        <f>SUMIFS(ClubDetails!H:H, ClubDetails!C:C, A45, ClubDetails!D:D, B45)</f>
        <v/>
      </c>
      <c r="E45" s="20">
        <f>SUMIFS(ClubDetails!K:K, ClubDetails!C:C, A45, ClubDetails!D:D, B45)</f>
        <v/>
      </c>
      <c r="F45" s="23">
        <f>IF(C45=0, 0, E45/C45)</f>
        <v/>
      </c>
      <c r="G45" s="20">
        <f>SUMIFS(ClubDetails!L:L, ClubDetails!C:C, A45, ClubDetails!D:D, B45)</f>
        <v/>
      </c>
      <c r="H45" s="23">
        <f>IF(C45=0, 0, G45/C45)</f>
        <v/>
      </c>
      <c r="I45" s="20">
        <f>SUMIFS(ClubDetails!J:J, ClubDetails!C:C, A45, ClubDetails!D:D, B45)</f>
        <v/>
      </c>
      <c r="J45" s="20">
        <f>SUMIFS(ClubDetails!M:M, ClubDetails!C:C, A45, ClubDetails!D:D, B45)</f>
        <v/>
      </c>
    </row>
    <row r="46">
      <c r="A46" s="24" t="inlineStr">
        <is>
          <t>Area Total</t>
        </is>
      </c>
      <c r="B46" s="26" t="inlineStr"/>
      <c r="C46" s="7">
        <f>SUM(C17:C45)</f>
        <v/>
      </c>
      <c r="D46" s="7">
        <f>SUM(D17:D45)</f>
        <v/>
      </c>
      <c r="E46" s="7">
        <f>SUM(E17:E45)</f>
        <v/>
      </c>
      <c r="F46" s="25">
        <f>IF(C46=0, 0, E46/C46)</f>
        <v/>
      </c>
      <c r="G46" s="7">
        <f>SUM(G17:G45)</f>
        <v/>
      </c>
      <c r="H46" s="25">
        <f>IF(C46=0, 0, G46/C46)</f>
        <v/>
      </c>
      <c r="I46" s="7">
        <f>SUM(I17:I45)</f>
        <v/>
      </c>
      <c r="J46" s="7">
        <f>SUM(J17:J45)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35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0D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28679549</v>
      </c>
      <c r="B4" s="12" t="inlineStr">
        <is>
          <t>0A</t>
        </is>
      </c>
      <c r="C4" s="27" t="inlineStr">
        <is>
          <t>Vialto Toastmasters Club</t>
        </is>
      </c>
      <c r="D4" s="8">
        <f>ClubDetails!G2</f>
        <v/>
      </c>
      <c r="E4" s="8">
        <f>ClubDetails!H2</f>
        <v/>
      </c>
      <c r="F4" s="8">
        <f>ClubDetails!I2</f>
        <v/>
      </c>
      <c r="G4" s="12">
        <f>IF(F4&lt;5,"-",IF(E4&gt;19,"Yes",IF(E4&gt;D4+2,"Yes","-")))</f>
        <v/>
      </c>
      <c r="H4" s="8">
        <f>ClubDetails!K2</f>
        <v/>
      </c>
      <c r="I4" s="28">
        <f>IF(D4=0,0,H4/D4)</f>
        <v/>
      </c>
      <c r="J4" s="8">
        <f>ClubDetails!L2</f>
        <v/>
      </c>
      <c r="K4" s="28">
        <f>IF(D4=0,0,J4/D4)</f>
        <v/>
      </c>
      <c r="L4" s="8">
        <f>ClubDetails!M2</f>
        <v/>
      </c>
      <c r="M4" s="8">
        <f>ClubDetails!J2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28680070</v>
      </c>
      <c r="B5" s="12" t="inlineStr">
        <is>
          <t>0A</t>
        </is>
      </c>
      <c r="C5" s="27" t="inlineStr">
        <is>
          <t>Envision India Toastmasters Club</t>
        </is>
      </c>
      <c r="D5" s="8">
        <f>ClubDetails!G3</f>
        <v/>
      </c>
      <c r="E5" s="8">
        <f>ClubDetails!H3</f>
        <v/>
      </c>
      <c r="F5" s="8">
        <f>ClubDetails!I3</f>
        <v/>
      </c>
      <c r="G5" s="12">
        <f>IF(F5&lt;5,"-",IF(E5&gt;19,"Yes",IF(E5&gt;D5+2,"Yes","-")))</f>
        <v/>
      </c>
      <c r="H5" s="8">
        <f>ClubDetails!K3</f>
        <v/>
      </c>
      <c r="I5" s="28">
        <f>IF(D5=0,0,H5/D5)</f>
        <v/>
      </c>
      <c r="J5" s="8">
        <f>ClubDetails!L3</f>
        <v/>
      </c>
      <c r="K5" s="28">
        <f>IF(D5=0,0,J5/D5)</f>
        <v/>
      </c>
      <c r="L5" s="8">
        <f>ClubDetails!M3</f>
        <v/>
      </c>
      <c r="M5" s="8">
        <f>ClubDetails!J3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28680152</v>
      </c>
      <c r="B6" s="12" t="inlineStr">
        <is>
          <t>0A</t>
        </is>
      </c>
      <c r="C6" s="27" t="inlineStr">
        <is>
          <t>rProcess Toastmasters Club</t>
        </is>
      </c>
      <c r="D6" s="8">
        <f>ClubDetails!G4</f>
        <v/>
      </c>
      <c r="E6" s="8">
        <f>ClubDetails!H4</f>
        <v/>
      </c>
      <c r="F6" s="8">
        <f>ClubDetails!I4</f>
        <v/>
      </c>
      <c r="G6" s="12">
        <f>IF(F6&lt;5,"-",IF(E6&gt;19,"Yes",IF(E6&gt;D6+2,"Yes","-")))</f>
        <v/>
      </c>
      <c r="H6" s="8">
        <f>ClubDetails!K4</f>
        <v/>
      </c>
      <c r="I6" s="28">
        <f>IF(D6=0,0,H6/D6)</f>
        <v/>
      </c>
      <c r="J6" s="8">
        <f>ClubDetails!L4</f>
        <v/>
      </c>
      <c r="K6" s="28">
        <f>IF(D6=0,0,J6/D6)</f>
        <v/>
      </c>
      <c r="L6" s="8">
        <f>ClubDetails!M4</f>
        <v/>
      </c>
      <c r="M6" s="8">
        <f>ClubDetails!J4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28680397</v>
      </c>
      <c r="B7" s="12" t="inlineStr">
        <is>
          <t>0A</t>
        </is>
      </c>
      <c r="C7" s="27" t="inlineStr">
        <is>
          <t>Uxcel Toastmasters Club</t>
        </is>
      </c>
      <c r="D7" s="8">
        <f>ClubDetails!G5</f>
        <v/>
      </c>
      <c r="E7" s="8">
        <f>ClubDetails!H5</f>
        <v/>
      </c>
      <c r="F7" s="8">
        <f>ClubDetails!I5</f>
        <v/>
      </c>
      <c r="G7" s="12">
        <f>IF(F7&lt;5,"-",IF(E7&gt;19,"Yes",IF(E7&gt;D7+2,"Yes","-")))</f>
        <v/>
      </c>
      <c r="H7" s="8">
        <f>ClubDetails!K5</f>
        <v/>
      </c>
      <c r="I7" s="28">
        <f>IF(D7=0,0,H7/D7)</f>
        <v/>
      </c>
      <c r="J7" s="8">
        <f>ClubDetails!L5</f>
        <v/>
      </c>
      <c r="K7" s="28">
        <f>IF(D7=0,0,J7/D7)</f>
        <v/>
      </c>
      <c r="L7" s="8">
        <f>ClubDetails!M5</f>
        <v/>
      </c>
      <c r="M7" s="8">
        <f>ClubDetails!J5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28680500</v>
      </c>
      <c r="B8" s="12" t="inlineStr">
        <is>
          <t>0A</t>
        </is>
      </c>
      <c r="C8" s="27" t="inlineStr">
        <is>
          <t>eGov Toastmasters Club</t>
        </is>
      </c>
      <c r="D8" s="8">
        <f>ClubDetails!G6</f>
        <v/>
      </c>
      <c r="E8" s="8">
        <f>ClubDetails!H6</f>
        <v/>
      </c>
      <c r="F8" s="8">
        <f>ClubDetails!I6</f>
        <v/>
      </c>
      <c r="G8" s="12">
        <f>IF(F8&lt;5,"-",IF(E8&gt;19,"Yes",IF(E8&gt;D8+2,"Yes","-")))</f>
        <v/>
      </c>
      <c r="H8" s="8">
        <f>ClubDetails!K6</f>
        <v/>
      </c>
      <c r="I8" s="28">
        <f>IF(D8=0,0,H8/D8)</f>
        <v/>
      </c>
      <c r="J8" s="8">
        <f>ClubDetails!L6</f>
        <v/>
      </c>
      <c r="K8" s="28">
        <f>IF(D8=0,0,J8/D8)</f>
        <v/>
      </c>
      <c r="L8" s="8">
        <f>ClubDetails!M6</f>
        <v/>
      </c>
      <c r="M8" s="8">
        <f>ClubDetails!J6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24" t="inlineStr">
        <is>
          <t>Total / Average</t>
        </is>
      </c>
      <c r="B9" s="26" t="inlineStr"/>
      <c r="C9" s="26" t="inlineStr"/>
      <c r="D9" s="7">
        <f>SUM(D4:D8)</f>
        <v/>
      </c>
      <c r="E9" s="7">
        <f>SUM(E4:E8)</f>
        <v/>
      </c>
      <c r="F9" s="29">
        <f>AVERAGE(F4:F8)</f>
        <v/>
      </c>
      <c r="G9" s="30">
        <f>COUNTIF(G4:G8,"Yes")</f>
        <v/>
      </c>
      <c r="H9" s="7">
        <f>SUM(H4:H8)</f>
        <v/>
      </c>
      <c r="I9" s="25">
        <f>IF(D9=0,0,H9/D9)</f>
        <v/>
      </c>
      <c r="J9" s="7">
        <f>SUM(J4:J8)</f>
        <v/>
      </c>
      <c r="K9" s="25">
        <f>IF(D9=0,0,J9/D9)</f>
        <v/>
      </c>
      <c r="L9" s="7">
        <f>SUM(L4:L8)</f>
        <v/>
      </c>
      <c r="M9" s="7">
        <f>SUM(M4:M8)</f>
        <v/>
      </c>
      <c r="N9" s="7">
        <f>SUM(N4:N8)</f>
        <v/>
      </c>
      <c r="O9" s="7">
        <f>SUM(O4:O8)</f>
        <v/>
      </c>
      <c r="P9" s="7">
        <f>SUM(P4:P8)</f>
        <v/>
      </c>
      <c r="Q9" s="7">
        <f>SUM(Q4:Q8)</f>
        <v/>
      </c>
      <c r="R9" s="7">
        <f>SUM(R4:R8)</f>
        <v/>
      </c>
      <c r="S9" s="7">
        <f>SUM(S4:S8)</f>
        <v/>
      </c>
      <c r="T9" s="7">
        <f>SUM(T4:T8)</f>
        <v/>
      </c>
      <c r="U9" s="7">
        <f>SUM(U4:U8)</f>
        <v/>
      </c>
      <c r="V9" s="7">
        <f>SUM(V4:V8)</f>
        <v/>
      </c>
      <c r="W9" s="7">
        <f>SUM(W4:W8)</f>
        <v/>
      </c>
      <c r="X9" s="7">
        <f>SUM(X4:X8)</f>
        <v/>
      </c>
      <c r="Y9" s="7">
        <f>SUM(Y4:Y8)</f>
        <v/>
      </c>
      <c r="Z9" s="30">
        <f>COUNTIF(Z4:Z8,"Yes")</f>
        <v/>
      </c>
      <c r="AA9" s="7">
        <f>SUM(AA4:AA8)</f>
        <v/>
      </c>
      <c r="AB9" s="30">
        <f>COUNTIF(AB4:AB8,"Yes")</f>
        <v/>
      </c>
      <c r="AC9" s="7">
        <f>SUM(AC4:AC8)</f>
        <v/>
      </c>
      <c r="AD9" s="30">
        <f>COUNTIF(AD4:AD8,"Yes")</f>
        <v/>
      </c>
      <c r="AE9" s="7">
        <f>SUM(AE4:AE8)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2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A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3803102</v>
      </c>
      <c r="B4" s="12" t="inlineStr">
        <is>
          <t>01</t>
        </is>
      </c>
      <c r="C4" s="27" t="inlineStr">
        <is>
          <t>RESONANCE</t>
        </is>
      </c>
      <c r="D4" s="8">
        <f>ClubDetails!G7</f>
        <v/>
      </c>
      <c r="E4" s="8">
        <f>ClubDetails!H7</f>
        <v/>
      </c>
      <c r="F4" s="8">
        <f>ClubDetails!I7</f>
        <v/>
      </c>
      <c r="G4" s="12">
        <f>IF(F4&lt;5,"-",IF(E4&gt;19,"Yes",IF(E4&gt;D4+2,"Yes","-")))</f>
        <v/>
      </c>
      <c r="H4" s="8">
        <f>ClubDetails!K7</f>
        <v/>
      </c>
      <c r="I4" s="28">
        <f>IF(D4=0,0,H4/D4)</f>
        <v/>
      </c>
      <c r="J4" s="8">
        <f>ClubDetails!L7</f>
        <v/>
      </c>
      <c r="K4" s="28">
        <f>IF(D4=0,0,J4/D4)</f>
        <v/>
      </c>
      <c r="L4" s="8">
        <f>ClubDetails!M7</f>
        <v/>
      </c>
      <c r="M4" s="8">
        <f>ClubDetails!J7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28675382</v>
      </c>
      <c r="B5" s="12" t="inlineStr">
        <is>
          <t>01</t>
        </is>
      </c>
      <c r="C5" s="27" t="inlineStr">
        <is>
          <t>INDO-MIM Toastmasters Club</t>
        </is>
      </c>
      <c r="D5" s="8">
        <f>ClubDetails!G8</f>
        <v/>
      </c>
      <c r="E5" s="8">
        <f>ClubDetails!H8</f>
        <v/>
      </c>
      <c r="F5" s="8">
        <f>ClubDetails!I8</f>
        <v/>
      </c>
      <c r="G5" s="12">
        <f>IF(F5&lt;5,"-",IF(E5&gt;19,"Yes",IF(E5&gt;D5+2,"Yes","-")))</f>
        <v/>
      </c>
      <c r="H5" s="8">
        <f>ClubDetails!K8</f>
        <v/>
      </c>
      <c r="I5" s="28">
        <f>IF(D5=0,0,H5/D5)</f>
        <v/>
      </c>
      <c r="J5" s="8">
        <f>ClubDetails!L8</f>
        <v/>
      </c>
      <c r="K5" s="28">
        <f>IF(D5=0,0,J5/D5)</f>
        <v/>
      </c>
      <c r="L5" s="8">
        <f>ClubDetails!M8</f>
        <v/>
      </c>
      <c r="M5" s="8">
        <f>ClubDetails!J8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28676720</v>
      </c>
      <c r="B6" s="12" t="inlineStr">
        <is>
          <t>01</t>
        </is>
      </c>
      <c r="C6" s="27" t="inlineStr">
        <is>
          <t>Presidency University Toastmasters Club</t>
        </is>
      </c>
      <c r="D6" s="8">
        <f>ClubDetails!G9</f>
        <v/>
      </c>
      <c r="E6" s="8">
        <f>ClubDetails!H9</f>
        <v/>
      </c>
      <c r="F6" s="8">
        <f>ClubDetails!I9</f>
        <v/>
      </c>
      <c r="G6" s="12">
        <f>IF(F6&lt;5,"-",IF(E6&gt;19,"Yes",IF(E6&gt;D6+2,"Yes","-")))</f>
        <v/>
      </c>
      <c r="H6" s="8">
        <f>ClubDetails!K9</f>
        <v/>
      </c>
      <c r="I6" s="28">
        <f>IF(D6=0,0,H6/D6)</f>
        <v/>
      </c>
      <c r="J6" s="8">
        <f>ClubDetails!L9</f>
        <v/>
      </c>
      <c r="K6" s="28">
        <f>IF(D6=0,0,J6/D6)</f>
        <v/>
      </c>
      <c r="L6" s="8">
        <f>ClubDetails!M9</f>
        <v/>
      </c>
      <c r="M6" s="8">
        <f>ClubDetails!J9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28678850</v>
      </c>
      <c r="B7" s="12" t="inlineStr">
        <is>
          <t>01</t>
        </is>
      </c>
      <c r="C7" s="27" t="inlineStr">
        <is>
          <t>Shell STCB Verve</t>
        </is>
      </c>
      <c r="D7" s="8">
        <f>ClubDetails!G10</f>
        <v/>
      </c>
      <c r="E7" s="8">
        <f>ClubDetails!H10</f>
        <v/>
      </c>
      <c r="F7" s="8">
        <f>ClubDetails!I10</f>
        <v/>
      </c>
      <c r="G7" s="12">
        <f>IF(F7&lt;5,"-",IF(E7&gt;19,"Yes",IF(E7&gt;D7+2,"Yes","-")))</f>
        <v/>
      </c>
      <c r="H7" s="8">
        <f>ClubDetails!K10</f>
        <v/>
      </c>
      <c r="I7" s="28">
        <f>IF(D7=0,0,H7/D7)</f>
        <v/>
      </c>
      <c r="J7" s="8">
        <f>ClubDetails!L10</f>
        <v/>
      </c>
      <c r="K7" s="28">
        <f>IF(D7=0,0,J7/D7)</f>
        <v/>
      </c>
      <c r="L7" s="8">
        <f>ClubDetails!M10</f>
        <v/>
      </c>
      <c r="M7" s="8">
        <f>ClubDetails!J10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28679352</v>
      </c>
      <c r="B8" s="12" t="inlineStr">
        <is>
          <t>01</t>
        </is>
      </c>
      <c r="C8" s="27" t="inlineStr">
        <is>
          <t>Eden Toastmasters Club</t>
        </is>
      </c>
      <c r="D8" s="8">
        <f>ClubDetails!G11</f>
        <v/>
      </c>
      <c r="E8" s="8">
        <f>ClubDetails!H11</f>
        <v/>
      </c>
      <c r="F8" s="8">
        <f>ClubDetails!I11</f>
        <v/>
      </c>
      <c r="G8" s="12">
        <f>IF(F8&lt;5,"-",IF(E8&gt;19,"Yes",IF(E8&gt;D8+2,"Yes","-")))</f>
        <v/>
      </c>
      <c r="H8" s="8">
        <f>ClubDetails!K11</f>
        <v/>
      </c>
      <c r="I8" s="28">
        <f>IF(D8=0,0,H8/D8)</f>
        <v/>
      </c>
      <c r="J8" s="8">
        <f>ClubDetails!L11</f>
        <v/>
      </c>
      <c r="K8" s="28">
        <f>IF(D8=0,0,J8/D8)</f>
        <v/>
      </c>
      <c r="L8" s="8">
        <f>ClubDetails!M11</f>
        <v/>
      </c>
      <c r="M8" s="8">
        <f>ClubDetails!J11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28679508</v>
      </c>
      <c r="B9" s="12" t="inlineStr">
        <is>
          <t>01</t>
        </is>
      </c>
      <c r="C9" s="27" t="inlineStr">
        <is>
          <t>SISA Emerging Orators Circle</t>
        </is>
      </c>
      <c r="D9" s="8">
        <f>ClubDetails!G12</f>
        <v/>
      </c>
      <c r="E9" s="8">
        <f>ClubDetails!H12</f>
        <v/>
      </c>
      <c r="F9" s="8">
        <f>ClubDetails!I12</f>
        <v/>
      </c>
      <c r="G9" s="12">
        <f>IF(F9&lt;5,"-",IF(E9&gt;19,"Yes",IF(E9&gt;D9+2,"Yes","-")))</f>
        <v/>
      </c>
      <c r="H9" s="8">
        <f>ClubDetails!K12</f>
        <v/>
      </c>
      <c r="I9" s="28">
        <f>IF(D9=0,0,H9/D9)</f>
        <v/>
      </c>
      <c r="J9" s="8">
        <f>ClubDetails!L12</f>
        <v/>
      </c>
      <c r="K9" s="28">
        <f>IF(D9=0,0,J9/D9)</f>
        <v/>
      </c>
      <c r="L9" s="8">
        <f>ClubDetails!M12</f>
        <v/>
      </c>
      <c r="M9" s="8">
        <f>ClubDetails!J12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2379914</v>
      </c>
      <c r="B10" s="12" t="inlineStr">
        <is>
          <t>02</t>
        </is>
      </c>
      <c r="C10" s="27" t="inlineStr">
        <is>
          <t>Beechi Toastmasters Club</t>
        </is>
      </c>
      <c r="D10" s="8">
        <f>ClubDetails!G13</f>
        <v/>
      </c>
      <c r="E10" s="8">
        <f>ClubDetails!H13</f>
        <v/>
      </c>
      <c r="F10" s="8">
        <f>ClubDetails!I13</f>
        <v/>
      </c>
      <c r="G10" s="12">
        <f>IF(F10&lt;5,"-",IF(E10&gt;19,"Yes",IF(E10&gt;D10+2,"Yes","-")))</f>
        <v/>
      </c>
      <c r="H10" s="8">
        <f>ClubDetails!K13</f>
        <v/>
      </c>
      <c r="I10" s="28">
        <f>IF(D10=0,0,H10/D10)</f>
        <v/>
      </c>
      <c r="J10" s="8">
        <f>ClubDetails!L13</f>
        <v/>
      </c>
      <c r="K10" s="28">
        <f>IF(D10=0,0,J10/D10)</f>
        <v/>
      </c>
      <c r="L10" s="8">
        <f>ClubDetails!M13</f>
        <v/>
      </c>
      <c r="M10" s="8">
        <f>ClubDetails!J13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7459390</v>
      </c>
      <c r="B11" s="12" t="inlineStr">
        <is>
          <t>02</t>
        </is>
      </c>
      <c r="C11" s="27" t="inlineStr">
        <is>
          <t>Eloquence AZ</t>
        </is>
      </c>
      <c r="D11" s="8">
        <f>ClubDetails!G14</f>
        <v/>
      </c>
      <c r="E11" s="8">
        <f>ClubDetails!H14</f>
        <v/>
      </c>
      <c r="F11" s="8">
        <f>ClubDetails!I14</f>
        <v/>
      </c>
      <c r="G11" s="12">
        <f>IF(F11&lt;5,"-",IF(E11&gt;19,"Yes",IF(E11&gt;D11+2,"Yes","-")))</f>
        <v/>
      </c>
      <c r="H11" s="8">
        <f>ClubDetails!K14</f>
        <v/>
      </c>
      <c r="I11" s="28">
        <f>IF(D11=0,0,H11/D11)</f>
        <v/>
      </c>
      <c r="J11" s="8">
        <f>ClubDetails!L14</f>
        <v/>
      </c>
      <c r="K11" s="28">
        <f>IF(D11=0,0,J11/D11)</f>
        <v/>
      </c>
      <c r="L11" s="8">
        <f>ClubDetails!M14</f>
        <v/>
      </c>
      <c r="M11" s="8">
        <f>ClubDetails!J14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7876884</v>
      </c>
      <c r="B12" s="12" t="inlineStr">
        <is>
          <t>02</t>
        </is>
      </c>
      <c r="C12" s="27" t="inlineStr">
        <is>
          <t>Vidyaranyapura Toastmasters Club</t>
        </is>
      </c>
      <c r="D12" s="8">
        <f>ClubDetails!G15</f>
        <v/>
      </c>
      <c r="E12" s="8">
        <f>ClubDetails!H15</f>
        <v/>
      </c>
      <c r="F12" s="8">
        <f>ClubDetails!I15</f>
        <v/>
      </c>
      <c r="G12" s="12">
        <f>IF(F12&lt;5,"-",IF(E12&gt;19,"Yes",IF(E12&gt;D12+2,"Yes","-")))</f>
        <v/>
      </c>
      <c r="H12" s="8">
        <f>ClubDetails!K15</f>
        <v/>
      </c>
      <c r="I12" s="28">
        <f>IF(D12=0,0,H12/D12)</f>
        <v/>
      </c>
      <c r="J12" s="8">
        <f>ClubDetails!L15</f>
        <v/>
      </c>
      <c r="K12" s="28">
        <f>IF(D12=0,0,J12/D12)</f>
        <v/>
      </c>
      <c r="L12" s="8">
        <f>ClubDetails!M15</f>
        <v/>
      </c>
      <c r="M12" s="8">
        <f>ClubDetails!J15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28677738</v>
      </c>
      <c r="B13" s="12" t="inlineStr">
        <is>
          <t>02</t>
        </is>
      </c>
      <c r="C13" s="27" t="inlineStr">
        <is>
          <t>Scarlet Speakers</t>
        </is>
      </c>
      <c r="D13" s="8">
        <f>ClubDetails!G16</f>
        <v/>
      </c>
      <c r="E13" s="8">
        <f>ClubDetails!H16</f>
        <v/>
      </c>
      <c r="F13" s="8">
        <f>ClubDetails!I16</f>
        <v/>
      </c>
      <c r="G13" s="12">
        <f>IF(F13&lt;5,"-",IF(E13&gt;19,"Yes",IF(E13&gt;D13+2,"Yes","-")))</f>
        <v/>
      </c>
      <c r="H13" s="8">
        <f>ClubDetails!K16</f>
        <v/>
      </c>
      <c r="I13" s="28">
        <f>IF(D13=0,0,H13/D13)</f>
        <v/>
      </c>
      <c r="J13" s="8">
        <f>ClubDetails!L16</f>
        <v/>
      </c>
      <c r="K13" s="28">
        <f>IF(D13=0,0,J13/D13)</f>
        <v/>
      </c>
      <c r="L13" s="8">
        <f>ClubDetails!M16</f>
        <v/>
      </c>
      <c r="M13" s="8">
        <f>ClubDetails!J16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28679627</v>
      </c>
      <c r="B14" s="12" t="inlineStr">
        <is>
          <t>02</t>
        </is>
      </c>
      <c r="C14" s="27" t="inlineStr">
        <is>
          <t>MAHE Bengaluru Toastmasters Club</t>
        </is>
      </c>
      <c r="D14" s="8">
        <f>ClubDetails!G17</f>
        <v/>
      </c>
      <c r="E14" s="8">
        <f>ClubDetails!H17</f>
        <v/>
      </c>
      <c r="F14" s="8">
        <f>ClubDetails!I17</f>
        <v/>
      </c>
      <c r="G14" s="12">
        <f>IF(F14&lt;5,"-",IF(E14&gt;19,"Yes",IF(E14&gt;D14+2,"Yes","-")))</f>
        <v/>
      </c>
      <c r="H14" s="8">
        <f>ClubDetails!K17</f>
        <v/>
      </c>
      <c r="I14" s="28">
        <f>IF(D14=0,0,H14/D14)</f>
        <v/>
      </c>
      <c r="J14" s="8">
        <f>ClubDetails!L17</f>
        <v/>
      </c>
      <c r="K14" s="28">
        <f>IF(D14=0,0,J14/D14)</f>
        <v/>
      </c>
      <c r="L14" s="8">
        <f>ClubDetails!M17</f>
        <v/>
      </c>
      <c r="M14" s="8">
        <f>ClubDetails!J17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2158258</v>
      </c>
      <c r="B15" s="12" t="inlineStr">
        <is>
          <t>03</t>
        </is>
      </c>
      <c r="C15" s="27" t="inlineStr">
        <is>
          <t>Collins Bengaluru Toastmasters Club</t>
        </is>
      </c>
      <c r="D15" s="8">
        <f>ClubDetails!G18</f>
        <v/>
      </c>
      <c r="E15" s="8">
        <f>ClubDetails!H18</f>
        <v/>
      </c>
      <c r="F15" s="8">
        <f>ClubDetails!I18</f>
        <v/>
      </c>
      <c r="G15" s="12">
        <f>IF(F15&lt;5,"-",IF(E15&gt;19,"Yes",IF(E15&gt;D15+2,"Yes","-")))</f>
        <v/>
      </c>
      <c r="H15" s="8">
        <f>ClubDetails!K18</f>
        <v/>
      </c>
      <c r="I15" s="28">
        <f>IF(D15=0,0,H15/D15)</f>
        <v/>
      </c>
      <c r="J15" s="8">
        <f>ClubDetails!L18</f>
        <v/>
      </c>
      <c r="K15" s="28">
        <f>IF(D15=0,0,J15/D15)</f>
        <v/>
      </c>
      <c r="L15" s="8">
        <f>ClubDetails!M18</f>
        <v/>
      </c>
      <c r="M15" s="8">
        <f>ClubDetails!J18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5424705</v>
      </c>
      <c r="B16" s="12" t="inlineStr">
        <is>
          <t>03</t>
        </is>
      </c>
      <c r="C16" s="27" t="inlineStr">
        <is>
          <t>Where Is the Mic?</t>
        </is>
      </c>
      <c r="D16" s="8">
        <f>ClubDetails!G19</f>
        <v/>
      </c>
      <c r="E16" s="8">
        <f>ClubDetails!H19</f>
        <v/>
      </c>
      <c r="F16" s="8">
        <f>ClubDetails!I19</f>
        <v/>
      </c>
      <c r="G16" s="12">
        <f>IF(F16&lt;5,"-",IF(E16&gt;19,"Yes",IF(E16&gt;D16+2,"Yes","-")))</f>
        <v/>
      </c>
      <c r="H16" s="8">
        <f>ClubDetails!K19</f>
        <v/>
      </c>
      <c r="I16" s="28">
        <f>IF(D16=0,0,H16/D16)</f>
        <v/>
      </c>
      <c r="J16" s="8">
        <f>ClubDetails!L19</f>
        <v/>
      </c>
      <c r="K16" s="28">
        <f>IF(D16=0,0,J16/D16)</f>
        <v/>
      </c>
      <c r="L16" s="8">
        <f>ClubDetails!M19</f>
        <v/>
      </c>
      <c r="M16" s="8">
        <f>ClubDetails!J19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6507031</v>
      </c>
      <c r="B17" s="12" t="inlineStr">
        <is>
          <t>03</t>
        </is>
      </c>
      <c r="C17" s="27" t="inlineStr">
        <is>
          <t>ANZ TechTalkers</t>
        </is>
      </c>
      <c r="D17" s="8">
        <f>ClubDetails!G20</f>
        <v/>
      </c>
      <c r="E17" s="8">
        <f>ClubDetails!H20</f>
        <v/>
      </c>
      <c r="F17" s="8">
        <f>ClubDetails!I20</f>
        <v/>
      </c>
      <c r="G17" s="12">
        <f>IF(F17&lt;5,"-",IF(E17&gt;19,"Yes",IF(E17&gt;D17+2,"Yes","-")))</f>
        <v/>
      </c>
      <c r="H17" s="8">
        <f>ClubDetails!K20</f>
        <v/>
      </c>
      <c r="I17" s="28">
        <f>IF(D17=0,0,H17/D17)</f>
        <v/>
      </c>
      <c r="J17" s="8">
        <f>ClubDetails!L20</f>
        <v/>
      </c>
      <c r="K17" s="28">
        <f>IF(D17=0,0,J17/D17)</f>
        <v/>
      </c>
      <c r="L17" s="8">
        <f>ClubDetails!M20</f>
        <v/>
      </c>
      <c r="M17" s="8">
        <f>ClubDetails!J20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6808086</v>
      </c>
      <c r="B18" s="12" t="inlineStr">
        <is>
          <t>03</t>
        </is>
      </c>
      <c r="C18" s="27" t="inlineStr">
        <is>
          <t>Cerner BLR Constellate</t>
        </is>
      </c>
      <c r="D18" s="8">
        <f>ClubDetails!G21</f>
        <v/>
      </c>
      <c r="E18" s="8">
        <f>ClubDetails!H21</f>
        <v/>
      </c>
      <c r="F18" s="8">
        <f>ClubDetails!I21</f>
        <v/>
      </c>
      <c r="G18" s="12">
        <f>IF(F18&lt;5,"-",IF(E18&gt;19,"Yes",IF(E18&gt;D18+2,"Yes","-")))</f>
        <v/>
      </c>
      <c r="H18" s="8">
        <f>ClubDetails!K21</f>
        <v/>
      </c>
      <c r="I18" s="28">
        <f>IF(D18=0,0,H18/D18)</f>
        <v/>
      </c>
      <c r="J18" s="8">
        <f>ClubDetails!L21</f>
        <v/>
      </c>
      <c r="K18" s="28">
        <f>IF(D18=0,0,J18/D18)</f>
        <v/>
      </c>
      <c r="L18" s="8">
        <f>ClubDetails!M21</f>
        <v/>
      </c>
      <c r="M18" s="8">
        <f>ClubDetails!J21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28675371</v>
      </c>
      <c r="B19" s="12" t="inlineStr">
        <is>
          <t>03</t>
        </is>
      </c>
      <c r="C19" s="27" t="inlineStr">
        <is>
          <t>Philips Bangalore Toastmasters Club</t>
        </is>
      </c>
      <c r="D19" s="8">
        <f>ClubDetails!G22</f>
        <v/>
      </c>
      <c r="E19" s="8">
        <f>ClubDetails!H22</f>
        <v/>
      </c>
      <c r="F19" s="8">
        <f>ClubDetails!I22</f>
        <v/>
      </c>
      <c r="G19" s="12">
        <f>IF(F19&lt;5,"-",IF(E19&gt;19,"Yes",IF(E19&gt;D19+2,"Yes","-")))</f>
        <v/>
      </c>
      <c r="H19" s="8">
        <f>ClubDetails!K22</f>
        <v/>
      </c>
      <c r="I19" s="28">
        <f>IF(D19=0,0,H19/D19)</f>
        <v/>
      </c>
      <c r="J19" s="8">
        <f>ClubDetails!L22</f>
        <v/>
      </c>
      <c r="K19" s="28">
        <f>IF(D19=0,0,J19/D19)</f>
        <v/>
      </c>
      <c r="L19" s="8">
        <f>ClubDetails!M22</f>
        <v/>
      </c>
      <c r="M19" s="8">
        <f>ClubDetails!J22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28675669</v>
      </c>
      <c r="B20" s="12" t="inlineStr">
        <is>
          <t>03</t>
        </is>
      </c>
      <c r="C20" s="27" t="inlineStr">
        <is>
          <t>CBA India Toastmasters Club</t>
        </is>
      </c>
      <c r="D20" s="8">
        <f>ClubDetails!G23</f>
        <v/>
      </c>
      <c r="E20" s="8">
        <f>ClubDetails!H23</f>
        <v/>
      </c>
      <c r="F20" s="8">
        <f>ClubDetails!I23</f>
        <v/>
      </c>
      <c r="G20" s="12">
        <f>IF(F20&lt;5,"-",IF(E20&gt;19,"Yes",IF(E20&gt;D20+2,"Yes","-")))</f>
        <v/>
      </c>
      <c r="H20" s="8">
        <f>ClubDetails!K23</f>
        <v/>
      </c>
      <c r="I20" s="28">
        <f>IF(D20=0,0,H20/D20)</f>
        <v/>
      </c>
      <c r="J20" s="8">
        <f>ClubDetails!L23</f>
        <v/>
      </c>
      <c r="K20" s="28">
        <f>IF(D20=0,0,J20/D20)</f>
        <v/>
      </c>
      <c r="L20" s="8">
        <f>ClubDetails!M23</f>
        <v/>
      </c>
      <c r="M20" s="8">
        <f>ClubDetails!J23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28679257</v>
      </c>
      <c r="B21" s="12" t="inlineStr">
        <is>
          <t>03</t>
        </is>
      </c>
      <c r="C21" s="27" t="inlineStr">
        <is>
          <t>IBM Online Toastmasters Club</t>
        </is>
      </c>
      <c r="D21" s="8">
        <f>ClubDetails!G24</f>
        <v/>
      </c>
      <c r="E21" s="8">
        <f>ClubDetails!H24</f>
        <v/>
      </c>
      <c r="F21" s="8">
        <f>ClubDetails!I24</f>
        <v/>
      </c>
      <c r="G21" s="12">
        <f>IF(F21&lt;5,"-",IF(E21&gt;19,"Yes",IF(E21&gt;D21+2,"Yes","-")))</f>
        <v/>
      </c>
      <c r="H21" s="8">
        <f>ClubDetails!K24</f>
        <v/>
      </c>
      <c r="I21" s="28">
        <f>IF(D21=0,0,H21/D21)</f>
        <v/>
      </c>
      <c r="J21" s="8">
        <f>ClubDetails!L24</f>
        <v/>
      </c>
      <c r="K21" s="28">
        <f>IF(D21=0,0,J21/D21)</f>
        <v/>
      </c>
      <c r="L21" s="8">
        <f>ClubDetails!M24</f>
        <v/>
      </c>
      <c r="M21" s="8">
        <f>ClubDetails!J24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1378869</v>
      </c>
      <c r="B22" s="12" t="inlineStr">
        <is>
          <t>04</t>
        </is>
      </c>
      <c r="C22" s="27" t="inlineStr">
        <is>
          <t>Blue Expression Toastmasters Club</t>
        </is>
      </c>
      <c r="D22" s="8">
        <f>ClubDetails!G25</f>
        <v/>
      </c>
      <c r="E22" s="8">
        <f>ClubDetails!H25</f>
        <v/>
      </c>
      <c r="F22" s="8">
        <f>ClubDetails!I25</f>
        <v/>
      </c>
      <c r="G22" s="12">
        <f>IF(F22&lt;5,"-",IF(E22&gt;19,"Yes",IF(E22&gt;D22+2,"Yes","-")))</f>
        <v/>
      </c>
      <c r="H22" s="8">
        <f>ClubDetails!K25</f>
        <v/>
      </c>
      <c r="I22" s="28">
        <f>IF(D22=0,0,H22/D22)</f>
        <v/>
      </c>
      <c r="J22" s="8">
        <f>ClubDetails!L25</f>
        <v/>
      </c>
      <c r="K22" s="28">
        <f>IF(D22=0,0,J22/D22)</f>
        <v/>
      </c>
      <c r="L22" s="8">
        <f>ClubDetails!M25</f>
        <v/>
      </c>
      <c r="M22" s="8">
        <f>ClubDetails!J25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2870184</v>
      </c>
      <c r="B23" s="12" t="inlineStr">
        <is>
          <t>04</t>
        </is>
      </c>
      <c r="C23" s="27" t="inlineStr">
        <is>
          <t>Talkmagic Toastmasters Club</t>
        </is>
      </c>
      <c r="D23" s="8">
        <f>ClubDetails!G26</f>
        <v/>
      </c>
      <c r="E23" s="8">
        <f>ClubDetails!H26</f>
        <v/>
      </c>
      <c r="F23" s="8">
        <f>ClubDetails!I26</f>
        <v/>
      </c>
      <c r="G23" s="12">
        <f>IF(F23&lt;5,"-",IF(E23&gt;19,"Yes",IF(E23&gt;D23+2,"Yes","-")))</f>
        <v/>
      </c>
      <c r="H23" s="8">
        <f>ClubDetails!K26</f>
        <v/>
      </c>
      <c r="I23" s="28">
        <f>IF(D23=0,0,H23/D23)</f>
        <v/>
      </c>
      <c r="J23" s="8">
        <f>ClubDetails!L26</f>
        <v/>
      </c>
      <c r="K23" s="28">
        <f>IF(D23=0,0,J23/D23)</f>
        <v/>
      </c>
      <c r="L23" s="8">
        <f>ClubDetails!M26</f>
        <v/>
      </c>
      <c r="M23" s="8">
        <f>ClubDetails!J26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12" t="n">
        <v>6768732</v>
      </c>
      <c r="B24" s="12" t="inlineStr">
        <is>
          <t>04</t>
        </is>
      </c>
      <c r="C24" s="27" t="inlineStr">
        <is>
          <t>Anchor ED Toastmasters Club</t>
        </is>
      </c>
      <c r="D24" s="8">
        <f>ClubDetails!G27</f>
        <v/>
      </c>
      <c r="E24" s="8">
        <f>ClubDetails!H27</f>
        <v/>
      </c>
      <c r="F24" s="8">
        <f>ClubDetails!I27</f>
        <v/>
      </c>
      <c r="G24" s="12">
        <f>IF(F24&lt;5,"-",IF(E24&gt;19,"Yes",IF(E24&gt;D24+2,"Yes","-")))</f>
        <v/>
      </c>
      <c r="H24" s="8">
        <f>ClubDetails!K27</f>
        <v/>
      </c>
      <c r="I24" s="28">
        <f>IF(D24=0,0,H24/D24)</f>
        <v/>
      </c>
      <c r="J24" s="8">
        <f>ClubDetails!L27</f>
        <v/>
      </c>
      <c r="K24" s="28">
        <f>IF(D24=0,0,J24/D24)</f>
        <v/>
      </c>
      <c r="L24" s="8">
        <f>ClubDetails!M27</f>
        <v/>
      </c>
      <c r="M24" s="8">
        <f>ClubDetails!J27</f>
        <v/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12">
        <f>IF(SUM(O24:P24)&gt;=5,"Yes","No")</f>
        <v/>
      </c>
      <c r="AA24" s="8">
        <f>IF(SUM(O24:P24)&gt;=5,0,5-SUM(O24:P24))</f>
        <v/>
      </c>
      <c r="AB24" s="12">
        <f>IF(SUM(U24:V24)&gt;=5,"Yes","No")</f>
        <v/>
      </c>
      <c r="AC24" s="8">
        <f>IF(SUM(U24:V24)&gt;=5,0,5-SUM(U24:V24))</f>
        <v/>
      </c>
      <c r="AD24" s="12">
        <f>IF(SUM(X24:Y24)&gt;=5,"Yes","No")</f>
        <v/>
      </c>
      <c r="AE24" s="8">
        <f>IF(SUM(X24:Y24)&gt;=5,0,5-SUM(X24:Y24))</f>
        <v/>
      </c>
    </row>
    <row r="25">
      <c r="A25" s="12" t="n">
        <v>7535157</v>
      </c>
      <c r="B25" s="12" t="inlineStr">
        <is>
          <t>04</t>
        </is>
      </c>
      <c r="C25" s="27" t="inlineStr">
        <is>
          <t>Speech Studio Toastmasters Club</t>
        </is>
      </c>
      <c r="D25" s="8">
        <f>ClubDetails!G28</f>
        <v/>
      </c>
      <c r="E25" s="8">
        <f>ClubDetails!H28</f>
        <v/>
      </c>
      <c r="F25" s="8">
        <f>ClubDetails!I28</f>
        <v/>
      </c>
      <c r="G25" s="12">
        <f>IF(F25&lt;5,"-",IF(E25&gt;19,"Yes",IF(E25&gt;D25+2,"Yes","-")))</f>
        <v/>
      </c>
      <c r="H25" s="8">
        <f>ClubDetails!K28</f>
        <v/>
      </c>
      <c r="I25" s="28">
        <f>IF(D25=0,0,H25/D25)</f>
        <v/>
      </c>
      <c r="J25" s="8">
        <f>ClubDetails!L28</f>
        <v/>
      </c>
      <c r="K25" s="28">
        <f>IF(D25=0,0,J25/D25)</f>
        <v/>
      </c>
      <c r="L25" s="8">
        <f>ClubDetails!M28</f>
        <v/>
      </c>
      <c r="M25" s="8">
        <f>ClubDetails!J28</f>
        <v/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12">
        <f>IF(SUM(O25:P25)&gt;=5,"Yes","No")</f>
        <v/>
      </c>
      <c r="AA25" s="8">
        <f>IF(SUM(O25:P25)&gt;=5,0,5-SUM(O25:P25))</f>
        <v/>
      </c>
      <c r="AB25" s="12">
        <f>IF(SUM(U25:V25)&gt;=5,"Yes","No")</f>
        <v/>
      </c>
      <c r="AC25" s="8">
        <f>IF(SUM(U25:V25)&gt;=5,0,5-SUM(U25:V25))</f>
        <v/>
      </c>
      <c r="AD25" s="12">
        <f>IF(SUM(X25:Y25)&gt;=5,"Yes","No")</f>
        <v/>
      </c>
      <c r="AE25" s="8">
        <f>IF(SUM(X25:Y25)&gt;=5,0,5-SUM(X25:Y25))</f>
        <v/>
      </c>
    </row>
    <row r="26">
      <c r="A26" s="12" t="n">
        <v>28679188</v>
      </c>
      <c r="B26" s="12" t="inlineStr">
        <is>
          <t>04</t>
        </is>
      </c>
      <c r="C26" s="27" t="inlineStr">
        <is>
          <t>First Citizens India Toastmasters Club</t>
        </is>
      </c>
      <c r="D26" s="8">
        <f>ClubDetails!G29</f>
        <v/>
      </c>
      <c r="E26" s="8">
        <f>ClubDetails!H29</f>
        <v/>
      </c>
      <c r="F26" s="8">
        <f>ClubDetails!I29</f>
        <v/>
      </c>
      <c r="G26" s="12">
        <f>IF(F26&lt;5,"-",IF(E26&gt;19,"Yes",IF(E26&gt;D26+2,"Yes","-")))</f>
        <v/>
      </c>
      <c r="H26" s="8">
        <f>ClubDetails!K29</f>
        <v/>
      </c>
      <c r="I26" s="28">
        <f>IF(D26=0,0,H26/D26)</f>
        <v/>
      </c>
      <c r="J26" s="8">
        <f>ClubDetails!L29</f>
        <v/>
      </c>
      <c r="K26" s="28">
        <f>IF(D26=0,0,J26/D26)</f>
        <v/>
      </c>
      <c r="L26" s="8">
        <f>ClubDetails!M29</f>
        <v/>
      </c>
      <c r="M26" s="8">
        <f>ClubDetails!J29</f>
        <v/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12">
        <f>IF(SUM(O26:P26)&gt;=5,"Yes","No")</f>
        <v/>
      </c>
      <c r="AA26" s="8">
        <f>IF(SUM(O26:P26)&gt;=5,0,5-SUM(O26:P26))</f>
        <v/>
      </c>
      <c r="AB26" s="12">
        <f>IF(SUM(U26:V26)&gt;=5,"Yes","No")</f>
        <v/>
      </c>
      <c r="AC26" s="8">
        <f>IF(SUM(U26:V26)&gt;=5,0,5-SUM(U26:V26))</f>
        <v/>
      </c>
      <c r="AD26" s="12">
        <f>IF(SUM(X26:Y26)&gt;=5,"Yes","No")</f>
        <v/>
      </c>
      <c r="AE26" s="8">
        <f>IF(SUM(X26:Y26)&gt;=5,0,5-SUM(X26:Y26))</f>
        <v/>
      </c>
    </row>
    <row r="27">
      <c r="A27" s="24" t="inlineStr">
        <is>
          <t>Total / Average</t>
        </is>
      </c>
      <c r="B27" s="26" t="inlineStr"/>
      <c r="C27" s="26" t="inlineStr"/>
      <c r="D27" s="7">
        <f>SUM(D4:D26)</f>
        <v/>
      </c>
      <c r="E27" s="7">
        <f>SUM(E4:E26)</f>
        <v/>
      </c>
      <c r="F27" s="29">
        <f>AVERAGE(F4:F26)</f>
        <v/>
      </c>
      <c r="G27" s="30">
        <f>COUNTIF(G4:G26,"Yes")</f>
        <v/>
      </c>
      <c r="H27" s="7">
        <f>SUM(H4:H26)</f>
        <v/>
      </c>
      <c r="I27" s="25">
        <f>IF(D27=0,0,H27/D27)</f>
        <v/>
      </c>
      <c r="J27" s="7">
        <f>SUM(J4:J26)</f>
        <v/>
      </c>
      <c r="K27" s="25">
        <f>IF(D27=0,0,J27/D27)</f>
        <v/>
      </c>
      <c r="L27" s="7">
        <f>SUM(L4:L26)</f>
        <v/>
      </c>
      <c r="M27" s="7">
        <f>SUM(M4:M26)</f>
        <v/>
      </c>
      <c r="N27" s="7">
        <f>SUM(N4:N26)</f>
        <v/>
      </c>
      <c r="O27" s="7">
        <f>SUM(O4:O26)</f>
        <v/>
      </c>
      <c r="P27" s="7">
        <f>SUM(P4:P26)</f>
        <v/>
      </c>
      <c r="Q27" s="7">
        <f>SUM(Q4:Q26)</f>
        <v/>
      </c>
      <c r="R27" s="7">
        <f>SUM(R4:R26)</f>
        <v/>
      </c>
      <c r="S27" s="7">
        <f>SUM(S4:S26)</f>
        <v/>
      </c>
      <c r="T27" s="7">
        <f>SUM(T4:T26)</f>
        <v/>
      </c>
      <c r="U27" s="7">
        <f>SUM(U4:U26)</f>
        <v/>
      </c>
      <c r="V27" s="7">
        <f>SUM(V4:V26)</f>
        <v/>
      </c>
      <c r="W27" s="7">
        <f>SUM(W4:W26)</f>
        <v/>
      </c>
      <c r="X27" s="7">
        <f>SUM(X4:X26)</f>
        <v/>
      </c>
      <c r="Y27" s="7">
        <f>SUM(Y4:Y26)</f>
        <v/>
      </c>
      <c r="Z27" s="30">
        <f>COUNTIF(Z4:Z26,"Yes")</f>
        <v/>
      </c>
      <c r="AA27" s="7">
        <f>SUM(AA4:AA26)</f>
        <v/>
      </c>
      <c r="AB27" s="30">
        <f>COUNTIF(AB4:AB26,"Yes")</f>
        <v/>
      </c>
      <c r="AC27" s="7">
        <f>SUM(AC4:AC26)</f>
        <v/>
      </c>
      <c r="AD27" s="30">
        <f>COUNTIF(AD4:AD26,"Yes")</f>
        <v/>
      </c>
      <c r="AE27" s="7">
        <f>SUM(AE4:AE26)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B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1766</v>
      </c>
      <c r="B4" s="12" t="inlineStr">
        <is>
          <t>01</t>
        </is>
      </c>
      <c r="C4" s="27" t="inlineStr">
        <is>
          <t>Daffodils Toastmasters Club</t>
        </is>
      </c>
      <c r="D4" s="8">
        <f>ClubDetails!G30</f>
        <v/>
      </c>
      <c r="E4" s="8">
        <f>ClubDetails!H30</f>
        <v/>
      </c>
      <c r="F4" s="8">
        <f>ClubDetails!I30</f>
        <v/>
      </c>
      <c r="G4" s="12">
        <f>IF(F4&lt;5,"-",IF(E4&gt;19,"Yes",IF(E4&gt;D4+2,"Yes","-")))</f>
        <v/>
      </c>
      <c r="H4" s="8">
        <f>ClubDetails!K30</f>
        <v/>
      </c>
      <c r="I4" s="28">
        <f>IF(D4=0,0,H4/D4)</f>
        <v/>
      </c>
      <c r="J4" s="8">
        <f>ClubDetails!L30</f>
        <v/>
      </c>
      <c r="K4" s="28">
        <f>IF(D4=0,0,J4/D4)</f>
        <v/>
      </c>
      <c r="L4" s="8">
        <f>ClubDetails!M30</f>
        <v/>
      </c>
      <c r="M4" s="8">
        <f>ClubDetails!J30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1523866</v>
      </c>
      <c r="B5" s="12" t="inlineStr">
        <is>
          <t>01</t>
        </is>
      </c>
      <c r="C5" s="27" t="inlineStr">
        <is>
          <t>Bangalore CA's Toastmasters Club</t>
        </is>
      </c>
      <c r="D5" s="8">
        <f>ClubDetails!G31</f>
        <v/>
      </c>
      <c r="E5" s="8">
        <f>ClubDetails!H31</f>
        <v/>
      </c>
      <c r="F5" s="8">
        <f>ClubDetails!I31</f>
        <v/>
      </c>
      <c r="G5" s="12">
        <f>IF(F5&lt;5,"-",IF(E5&gt;19,"Yes",IF(E5&gt;D5+2,"Yes","-")))</f>
        <v/>
      </c>
      <c r="H5" s="8">
        <f>ClubDetails!K31</f>
        <v/>
      </c>
      <c r="I5" s="28">
        <f>IF(D5=0,0,H5/D5)</f>
        <v/>
      </c>
      <c r="J5" s="8">
        <f>ClubDetails!L31</f>
        <v/>
      </c>
      <c r="K5" s="28">
        <f>IF(D5=0,0,J5/D5)</f>
        <v/>
      </c>
      <c r="L5" s="8">
        <f>ClubDetails!M31</f>
        <v/>
      </c>
      <c r="M5" s="8">
        <f>ClubDetails!J31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5856861</v>
      </c>
      <c r="B6" s="12" t="inlineStr">
        <is>
          <t>01</t>
        </is>
      </c>
      <c r="C6" s="27" t="inlineStr">
        <is>
          <t>MCU Toastmasters Club</t>
        </is>
      </c>
      <c r="D6" s="8">
        <f>ClubDetails!G32</f>
        <v/>
      </c>
      <c r="E6" s="8">
        <f>ClubDetails!H32</f>
        <v/>
      </c>
      <c r="F6" s="8">
        <f>ClubDetails!I32</f>
        <v/>
      </c>
      <c r="G6" s="12">
        <f>IF(F6&lt;5,"-",IF(E6&gt;19,"Yes",IF(E6&gt;D6+2,"Yes","-")))</f>
        <v/>
      </c>
      <c r="H6" s="8">
        <f>ClubDetails!K32</f>
        <v/>
      </c>
      <c r="I6" s="28">
        <f>IF(D6=0,0,H6/D6)</f>
        <v/>
      </c>
      <c r="J6" s="8">
        <f>ClubDetails!L32</f>
        <v/>
      </c>
      <c r="K6" s="28">
        <f>IF(D6=0,0,J6/D6)</f>
        <v/>
      </c>
      <c r="L6" s="8">
        <f>ClubDetails!M32</f>
        <v/>
      </c>
      <c r="M6" s="8">
        <f>ClubDetails!J32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28675881</v>
      </c>
      <c r="B7" s="12" t="inlineStr">
        <is>
          <t>01</t>
        </is>
      </c>
      <c r="C7" s="27" t="inlineStr">
        <is>
          <t>Atkins Achievers</t>
        </is>
      </c>
      <c r="D7" s="8">
        <f>ClubDetails!G33</f>
        <v/>
      </c>
      <c r="E7" s="8">
        <f>ClubDetails!H33</f>
        <v/>
      </c>
      <c r="F7" s="8">
        <f>ClubDetails!I33</f>
        <v/>
      </c>
      <c r="G7" s="12">
        <f>IF(F7&lt;5,"-",IF(E7&gt;19,"Yes",IF(E7&gt;D7+2,"Yes","-")))</f>
        <v/>
      </c>
      <c r="H7" s="8">
        <f>ClubDetails!K33</f>
        <v/>
      </c>
      <c r="I7" s="28">
        <f>IF(D7=0,0,H7/D7)</f>
        <v/>
      </c>
      <c r="J7" s="8">
        <f>ClubDetails!L33</f>
        <v/>
      </c>
      <c r="K7" s="28">
        <f>IF(D7=0,0,J7/D7)</f>
        <v/>
      </c>
      <c r="L7" s="8">
        <f>ClubDetails!M33</f>
        <v/>
      </c>
      <c r="M7" s="8">
        <f>ClubDetails!J33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28679203</v>
      </c>
      <c r="B8" s="12" t="inlineStr">
        <is>
          <t>01</t>
        </is>
      </c>
      <c r="C8" s="27" t="inlineStr">
        <is>
          <t>JLL Bangalore Toastmasters Club</t>
        </is>
      </c>
      <c r="D8" s="8">
        <f>ClubDetails!G34</f>
        <v/>
      </c>
      <c r="E8" s="8">
        <f>ClubDetails!H34</f>
        <v/>
      </c>
      <c r="F8" s="8">
        <f>ClubDetails!I34</f>
        <v/>
      </c>
      <c r="G8" s="12">
        <f>IF(F8&lt;5,"-",IF(E8&gt;19,"Yes",IF(E8&gt;D8+2,"Yes","-")))</f>
        <v/>
      </c>
      <c r="H8" s="8">
        <f>ClubDetails!K34</f>
        <v/>
      </c>
      <c r="I8" s="28">
        <f>IF(D8=0,0,H8/D8)</f>
        <v/>
      </c>
      <c r="J8" s="8">
        <f>ClubDetails!L34</f>
        <v/>
      </c>
      <c r="K8" s="28">
        <f>IF(D8=0,0,J8/D8)</f>
        <v/>
      </c>
      <c r="L8" s="8">
        <f>ClubDetails!M34</f>
        <v/>
      </c>
      <c r="M8" s="8">
        <f>ClubDetails!J34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9206</v>
      </c>
      <c r="B9" s="12" t="inlineStr">
        <is>
          <t>02</t>
        </is>
      </c>
      <c r="C9" s="27" t="inlineStr">
        <is>
          <t>BANGALORE TOASTMASTERS CLUB</t>
        </is>
      </c>
      <c r="D9" s="8">
        <f>ClubDetails!G35</f>
        <v/>
      </c>
      <c r="E9" s="8">
        <f>ClubDetails!H35</f>
        <v/>
      </c>
      <c r="F9" s="8">
        <f>ClubDetails!I35</f>
        <v/>
      </c>
      <c r="G9" s="12">
        <f>IF(F9&lt;5,"-",IF(E9&gt;19,"Yes",IF(E9&gt;D9+2,"Yes","-")))</f>
        <v/>
      </c>
      <c r="H9" s="8">
        <f>ClubDetails!K35</f>
        <v/>
      </c>
      <c r="I9" s="28">
        <f>IF(D9=0,0,H9/D9)</f>
        <v/>
      </c>
      <c r="J9" s="8">
        <f>ClubDetails!L35</f>
        <v/>
      </c>
      <c r="K9" s="28">
        <f>IF(D9=0,0,J9/D9)</f>
        <v/>
      </c>
      <c r="L9" s="8">
        <f>ClubDetails!M35</f>
        <v/>
      </c>
      <c r="M9" s="8">
        <f>ClubDetails!J35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848580</v>
      </c>
      <c r="B10" s="12" t="inlineStr">
        <is>
          <t>02</t>
        </is>
      </c>
      <c r="C10" s="27" t="inlineStr">
        <is>
          <t>Smedley Speakers Society</t>
        </is>
      </c>
      <c r="D10" s="8">
        <f>ClubDetails!G36</f>
        <v/>
      </c>
      <c r="E10" s="8">
        <f>ClubDetails!H36</f>
        <v/>
      </c>
      <c r="F10" s="8">
        <f>ClubDetails!I36</f>
        <v/>
      </c>
      <c r="G10" s="12">
        <f>IF(F10&lt;5,"-",IF(E10&gt;19,"Yes",IF(E10&gt;D10+2,"Yes","-")))</f>
        <v/>
      </c>
      <c r="H10" s="8">
        <f>ClubDetails!K36</f>
        <v/>
      </c>
      <c r="I10" s="28">
        <f>IF(D10=0,0,H10/D10)</f>
        <v/>
      </c>
      <c r="J10" s="8">
        <f>ClubDetails!L36</f>
        <v/>
      </c>
      <c r="K10" s="28">
        <f>IF(D10=0,0,J10/D10)</f>
        <v/>
      </c>
      <c r="L10" s="8">
        <f>ClubDetails!M36</f>
        <v/>
      </c>
      <c r="M10" s="8">
        <f>ClubDetails!J36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4113936</v>
      </c>
      <c r="B11" s="12" t="inlineStr">
        <is>
          <t>02</t>
        </is>
      </c>
      <c r="C11" s="27" t="inlineStr">
        <is>
          <t>Infinera Toastmasters</t>
        </is>
      </c>
      <c r="D11" s="8">
        <f>ClubDetails!G37</f>
        <v/>
      </c>
      <c r="E11" s="8">
        <f>ClubDetails!H37</f>
        <v/>
      </c>
      <c r="F11" s="8">
        <f>ClubDetails!I37</f>
        <v/>
      </c>
      <c r="G11" s="12">
        <f>IF(F11&lt;5,"-",IF(E11&gt;19,"Yes",IF(E11&gt;D11+2,"Yes","-")))</f>
        <v/>
      </c>
      <c r="H11" s="8">
        <f>ClubDetails!K37</f>
        <v/>
      </c>
      <c r="I11" s="28">
        <f>IF(D11=0,0,H11/D11)</f>
        <v/>
      </c>
      <c r="J11" s="8">
        <f>ClubDetails!L37</f>
        <v/>
      </c>
      <c r="K11" s="28">
        <f>IF(D11=0,0,J11/D11)</f>
        <v/>
      </c>
      <c r="L11" s="8">
        <f>ClubDetails!M37</f>
        <v/>
      </c>
      <c r="M11" s="8">
        <f>ClubDetails!J37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7738613</v>
      </c>
      <c r="B12" s="12" t="inlineStr">
        <is>
          <t>02</t>
        </is>
      </c>
      <c r="C12" s="27" t="inlineStr">
        <is>
          <t>NITK BHIVE Toastmasters Club</t>
        </is>
      </c>
      <c r="D12" s="8">
        <f>ClubDetails!G38</f>
        <v/>
      </c>
      <c r="E12" s="8">
        <f>ClubDetails!H38</f>
        <v/>
      </c>
      <c r="F12" s="8">
        <f>ClubDetails!I38</f>
        <v/>
      </c>
      <c r="G12" s="12">
        <f>IF(F12&lt;5,"-",IF(E12&gt;19,"Yes",IF(E12&gt;D12+2,"Yes","-")))</f>
        <v/>
      </c>
      <c r="H12" s="8">
        <f>ClubDetails!K38</f>
        <v/>
      </c>
      <c r="I12" s="28">
        <f>IF(D12=0,0,H12/D12)</f>
        <v/>
      </c>
      <c r="J12" s="8">
        <f>ClubDetails!L38</f>
        <v/>
      </c>
      <c r="K12" s="28">
        <f>IF(D12=0,0,J12/D12)</f>
        <v/>
      </c>
      <c r="L12" s="8">
        <f>ClubDetails!M38</f>
        <v/>
      </c>
      <c r="M12" s="8">
        <f>ClubDetails!J38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28678039</v>
      </c>
      <c r="B13" s="12" t="inlineStr">
        <is>
          <t>02</t>
        </is>
      </c>
      <c r="C13" s="27" t="inlineStr">
        <is>
          <t>Pure Storage Toastmasters Club</t>
        </is>
      </c>
      <c r="D13" s="8">
        <f>ClubDetails!G39</f>
        <v/>
      </c>
      <c r="E13" s="8">
        <f>ClubDetails!H39</f>
        <v/>
      </c>
      <c r="F13" s="8">
        <f>ClubDetails!I39</f>
        <v/>
      </c>
      <c r="G13" s="12">
        <f>IF(F13&lt;5,"-",IF(E13&gt;19,"Yes",IF(E13&gt;D13+2,"Yes","-")))</f>
        <v/>
      </c>
      <c r="H13" s="8">
        <f>ClubDetails!K39</f>
        <v/>
      </c>
      <c r="I13" s="28">
        <f>IF(D13=0,0,H13/D13)</f>
        <v/>
      </c>
      <c r="J13" s="8">
        <f>ClubDetails!L39</f>
        <v/>
      </c>
      <c r="K13" s="28">
        <f>IF(D13=0,0,J13/D13)</f>
        <v/>
      </c>
      <c r="L13" s="8">
        <f>ClubDetails!M39</f>
        <v/>
      </c>
      <c r="M13" s="8">
        <f>ClubDetails!J39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28678473</v>
      </c>
      <c r="B14" s="12" t="inlineStr">
        <is>
          <t>02</t>
        </is>
      </c>
      <c r="C14" s="27" t="inlineStr">
        <is>
          <t>Flexera Toastmasters</t>
        </is>
      </c>
      <c r="D14" s="8">
        <f>ClubDetails!G40</f>
        <v/>
      </c>
      <c r="E14" s="8">
        <f>ClubDetails!H40</f>
        <v/>
      </c>
      <c r="F14" s="8">
        <f>ClubDetails!I40</f>
        <v/>
      </c>
      <c r="G14" s="12">
        <f>IF(F14&lt;5,"-",IF(E14&gt;19,"Yes",IF(E14&gt;D14+2,"Yes","-")))</f>
        <v/>
      </c>
      <c r="H14" s="8">
        <f>ClubDetails!K40</f>
        <v/>
      </c>
      <c r="I14" s="28">
        <f>IF(D14=0,0,H14/D14)</f>
        <v/>
      </c>
      <c r="J14" s="8">
        <f>ClubDetails!L40</f>
        <v/>
      </c>
      <c r="K14" s="28">
        <f>IF(D14=0,0,J14/D14)</f>
        <v/>
      </c>
      <c r="L14" s="8">
        <f>ClubDetails!M40</f>
        <v/>
      </c>
      <c r="M14" s="8">
        <f>ClubDetails!J40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9713</v>
      </c>
      <c r="B15" s="12" t="inlineStr">
        <is>
          <t>03</t>
        </is>
      </c>
      <c r="C15" s="27" t="inlineStr">
        <is>
          <t>Sunshine Toastmasters Club</t>
        </is>
      </c>
      <c r="D15" s="8">
        <f>ClubDetails!G41</f>
        <v/>
      </c>
      <c r="E15" s="8">
        <f>ClubDetails!H41</f>
        <v/>
      </c>
      <c r="F15" s="8">
        <f>ClubDetails!I41</f>
        <v/>
      </c>
      <c r="G15" s="12">
        <f>IF(F15&lt;5,"-",IF(E15&gt;19,"Yes",IF(E15&gt;D15+2,"Yes","-")))</f>
        <v/>
      </c>
      <c r="H15" s="8">
        <f>ClubDetails!K41</f>
        <v/>
      </c>
      <c r="I15" s="28">
        <f>IF(D15=0,0,H15/D15)</f>
        <v/>
      </c>
      <c r="J15" s="8">
        <f>ClubDetails!L41</f>
        <v/>
      </c>
      <c r="K15" s="28">
        <f>IF(D15=0,0,J15/D15)</f>
        <v/>
      </c>
      <c r="L15" s="8">
        <f>ClubDetails!M41</f>
        <v/>
      </c>
      <c r="M15" s="8">
        <f>ClubDetails!J41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1430487</v>
      </c>
      <c r="B16" s="12" t="inlineStr">
        <is>
          <t>03</t>
        </is>
      </c>
      <c r="C16" s="27" t="inlineStr">
        <is>
          <t>Banjara Toastmasters</t>
        </is>
      </c>
      <c r="D16" s="8">
        <f>ClubDetails!G42</f>
        <v/>
      </c>
      <c r="E16" s="8">
        <f>ClubDetails!H42</f>
        <v/>
      </c>
      <c r="F16" s="8">
        <f>ClubDetails!I42</f>
        <v/>
      </c>
      <c r="G16" s="12">
        <f>IF(F16&lt;5,"-",IF(E16&gt;19,"Yes",IF(E16&gt;D16+2,"Yes","-")))</f>
        <v/>
      </c>
      <c r="H16" s="8">
        <f>ClubDetails!K42</f>
        <v/>
      </c>
      <c r="I16" s="28">
        <f>IF(D16=0,0,H16/D16)</f>
        <v/>
      </c>
      <c r="J16" s="8">
        <f>ClubDetails!L42</f>
        <v/>
      </c>
      <c r="K16" s="28">
        <f>IF(D16=0,0,J16/D16)</f>
        <v/>
      </c>
      <c r="L16" s="8">
        <f>ClubDetails!M42</f>
        <v/>
      </c>
      <c r="M16" s="8">
        <f>ClubDetails!J42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6601430</v>
      </c>
      <c r="B17" s="12" t="inlineStr">
        <is>
          <t>03</t>
        </is>
      </c>
      <c r="C17" s="27" t="inlineStr">
        <is>
          <t>ANZ Mavericks Toastmasters Club</t>
        </is>
      </c>
      <c r="D17" s="8">
        <f>ClubDetails!G43</f>
        <v/>
      </c>
      <c r="E17" s="8">
        <f>ClubDetails!H43</f>
        <v/>
      </c>
      <c r="F17" s="8">
        <f>ClubDetails!I43</f>
        <v/>
      </c>
      <c r="G17" s="12">
        <f>IF(F17&lt;5,"-",IF(E17&gt;19,"Yes",IF(E17&gt;D17+2,"Yes","-")))</f>
        <v/>
      </c>
      <c r="H17" s="8">
        <f>ClubDetails!K43</f>
        <v/>
      </c>
      <c r="I17" s="28">
        <f>IF(D17=0,0,H17/D17)</f>
        <v/>
      </c>
      <c r="J17" s="8">
        <f>ClubDetails!L43</f>
        <v/>
      </c>
      <c r="K17" s="28">
        <f>IF(D17=0,0,J17/D17)</f>
        <v/>
      </c>
      <c r="L17" s="8">
        <f>ClubDetails!M43</f>
        <v/>
      </c>
      <c r="M17" s="8">
        <f>ClubDetails!J43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28675322</v>
      </c>
      <c r="B18" s="12" t="inlineStr">
        <is>
          <t>03</t>
        </is>
      </c>
      <c r="C18" s="27" t="inlineStr">
        <is>
          <t>BD TCI Reciter's Club</t>
        </is>
      </c>
      <c r="D18" s="8">
        <f>ClubDetails!G44</f>
        <v/>
      </c>
      <c r="E18" s="8">
        <f>ClubDetails!H44</f>
        <v/>
      </c>
      <c r="F18" s="8">
        <f>ClubDetails!I44</f>
        <v/>
      </c>
      <c r="G18" s="12">
        <f>IF(F18&lt;5,"-",IF(E18&gt;19,"Yes",IF(E18&gt;D18+2,"Yes","-")))</f>
        <v/>
      </c>
      <c r="H18" s="8">
        <f>ClubDetails!K44</f>
        <v/>
      </c>
      <c r="I18" s="28">
        <f>IF(D18=0,0,H18/D18)</f>
        <v/>
      </c>
      <c r="J18" s="8">
        <f>ClubDetails!L44</f>
        <v/>
      </c>
      <c r="K18" s="28">
        <f>IF(D18=0,0,J18/D18)</f>
        <v/>
      </c>
      <c r="L18" s="8">
        <f>ClubDetails!M44</f>
        <v/>
      </c>
      <c r="M18" s="8">
        <f>ClubDetails!J44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28679982</v>
      </c>
      <c r="B19" s="12" t="inlineStr">
        <is>
          <t>03</t>
        </is>
      </c>
      <c r="C19" s="27" t="inlineStr">
        <is>
          <t>Chip n' Chirp Toastmasters</t>
        </is>
      </c>
      <c r="D19" s="8">
        <f>ClubDetails!G45</f>
        <v/>
      </c>
      <c r="E19" s="8">
        <f>ClubDetails!H45</f>
        <v/>
      </c>
      <c r="F19" s="8">
        <f>ClubDetails!I45</f>
        <v/>
      </c>
      <c r="G19" s="12">
        <f>IF(F19&lt;5,"-",IF(E19&gt;19,"Yes",IF(E19&gt;D19+2,"Yes","-")))</f>
        <v/>
      </c>
      <c r="H19" s="8">
        <f>ClubDetails!K45</f>
        <v/>
      </c>
      <c r="I19" s="28">
        <f>IF(D19=0,0,H19/D19)</f>
        <v/>
      </c>
      <c r="J19" s="8">
        <f>ClubDetails!L45</f>
        <v/>
      </c>
      <c r="K19" s="28">
        <f>IF(D19=0,0,J19/D19)</f>
        <v/>
      </c>
      <c r="L19" s="8">
        <f>ClubDetails!M45</f>
        <v/>
      </c>
      <c r="M19" s="8">
        <f>ClubDetails!J45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9015</v>
      </c>
      <c r="B20" s="12" t="inlineStr">
        <is>
          <t>04</t>
        </is>
      </c>
      <c r="C20" s="27" t="inlineStr">
        <is>
          <t>Garden City Toastmasters Club</t>
        </is>
      </c>
      <c r="D20" s="8">
        <f>ClubDetails!G46</f>
        <v/>
      </c>
      <c r="E20" s="8">
        <f>ClubDetails!H46</f>
        <v/>
      </c>
      <c r="F20" s="8">
        <f>ClubDetails!I46</f>
        <v/>
      </c>
      <c r="G20" s="12">
        <f>IF(F20&lt;5,"-",IF(E20&gt;19,"Yes",IF(E20&gt;D20+2,"Yes","-")))</f>
        <v/>
      </c>
      <c r="H20" s="8">
        <f>ClubDetails!K46</f>
        <v/>
      </c>
      <c r="I20" s="28">
        <f>IF(D20=0,0,H20/D20)</f>
        <v/>
      </c>
      <c r="J20" s="8">
        <f>ClubDetails!L46</f>
        <v/>
      </c>
      <c r="K20" s="28">
        <f>IF(D20=0,0,J20/D20)</f>
        <v/>
      </c>
      <c r="L20" s="8">
        <f>ClubDetails!M46</f>
        <v/>
      </c>
      <c r="M20" s="8">
        <f>ClubDetails!J46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7772645</v>
      </c>
      <c r="B21" s="12" t="inlineStr">
        <is>
          <t>04</t>
        </is>
      </c>
      <c r="C21" s="27" t="inlineStr">
        <is>
          <t>Namma Bengaluru Toastmasters Club</t>
        </is>
      </c>
      <c r="D21" s="8">
        <f>ClubDetails!G47</f>
        <v/>
      </c>
      <c r="E21" s="8">
        <f>ClubDetails!H47</f>
        <v/>
      </c>
      <c r="F21" s="8">
        <f>ClubDetails!I47</f>
        <v/>
      </c>
      <c r="G21" s="12">
        <f>IF(F21&lt;5,"-",IF(E21&gt;19,"Yes",IF(E21&gt;D21+2,"Yes","-")))</f>
        <v/>
      </c>
      <c r="H21" s="8">
        <f>ClubDetails!K47</f>
        <v/>
      </c>
      <c r="I21" s="28">
        <f>IF(D21=0,0,H21/D21)</f>
        <v/>
      </c>
      <c r="J21" s="8">
        <f>ClubDetails!L47</f>
        <v/>
      </c>
      <c r="K21" s="28">
        <f>IF(D21=0,0,J21/D21)</f>
        <v/>
      </c>
      <c r="L21" s="8">
        <f>ClubDetails!M47</f>
        <v/>
      </c>
      <c r="M21" s="8">
        <f>ClubDetails!J47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7806290</v>
      </c>
      <c r="B22" s="12" t="inlineStr">
        <is>
          <t>04</t>
        </is>
      </c>
      <c r="C22" s="27" t="inlineStr">
        <is>
          <t>The Gabbys</t>
        </is>
      </c>
      <c r="D22" s="8">
        <f>ClubDetails!G48</f>
        <v/>
      </c>
      <c r="E22" s="8">
        <f>ClubDetails!H48</f>
        <v/>
      </c>
      <c r="F22" s="8">
        <f>ClubDetails!I48</f>
        <v/>
      </c>
      <c r="G22" s="12">
        <f>IF(F22&lt;5,"-",IF(E22&gt;19,"Yes",IF(E22&gt;D22+2,"Yes","-")))</f>
        <v/>
      </c>
      <c r="H22" s="8">
        <f>ClubDetails!K48</f>
        <v/>
      </c>
      <c r="I22" s="28">
        <f>IF(D22=0,0,H22/D22)</f>
        <v/>
      </c>
      <c r="J22" s="8">
        <f>ClubDetails!L48</f>
        <v/>
      </c>
      <c r="K22" s="28">
        <f>IF(D22=0,0,J22/D22)</f>
        <v/>
      </c>
      <c r="L22" s="8">
        <f>ClubDetails!M48</f>
        <v/>
      </c>
      <c r="M22" s="8">
        <f>ClubDetails!J48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28676775</v>
      </c>
      <c r="B23" s="12" t="inlineStr">
        <is>
          <t>04</t>
        </is>
      </c>
      <c r="C23" s="27" t="inlineStr">
        <is>
          <t>WITEC Toastmasters Club</t>
        </is>
      </c>
      <c r="D23" s="8">
        <f>ClubDetails!G49</f>
        <v/>
      </c>
      <c r="E23" s="8">
        <f>ClubDetails!H49</f>
        <v/>
      </c>
      <c r="F23" s="8">
        <f>ClubDetails!I49</f>
        <v/>
      </c>
      <c r="G23" s="12">
        <f>IF(F23&lt;5,"-",IF(E23&gt;19,"Yes",IF(E23&gt;D23+2,"Yes","-")))</f>
        <v/>
      </c>
      <c r="H23" s="8">
        <f>ClubDetails!K49</f>
        <v/>
      </c>
      <c r="I23" s="28">
        <f>IF(D23=0,0,H23/D23)</f>
        <v/>
      </c>
      <c r="J23" s="8">
        <f>ClubDetails!L49</f>
        <v/>
      </c>
      <c r="K23" s="28">
        <f>IF(D23=0,0,J23/D23)</f>
        <v/>
      </c>
      <c r="L23" s="8">
        <f>ClubDetails!M49</f>
        <v/>
      </c>
      <c r="M23" s="8">
        <f>ClubDetails!J49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12" t="n">
        <v>28678400</v>
      </c>
      <c r="B24" s="12" t="inlineStr">
        <is>
          <t>04</t>
        </is>
      </c>
      <c r="C24" s="27" t="inlineStr">
        <is>
          <t>Voices of Pearson Toastmasters Club</t>
        </is>
      </c>
      <c r="D24" s="8">
        <f>ClubDetails!G50</f>
        <v/>
      </c>
      <c r="E24" s="8">
        <f>ClubDetails!H50</f>
        <v/>
      </c>
      <c r="F24" s="8">
        <f>ClubDetails!I50</f>
        <v/>
      </c>
      <c r="G24" s="12">
        <f>IF(F24&lt;5,"-",IF(E24&gt;19,"Yes",IF(E24&gt;D24+2,"Yes","-")))</f>
        <v/>
      </c>
      <c r="H24" s="8">
        <f>ClubDetails!K50</f>
        <v/>
      </c>
      <c r="I24" s="28">
        <f>IF(D24=0,0,H24/D24)</f>
        <v/>
      </c>
      <c r="J24" s="8">
        <f>ClubDetails!L50</f>
        <v/>
      </c>
      <c r="K24" s="28">
        <f>IF(D24=0,0,J24/D24)</f>
        <v/>
      </c>
      <c r="L24" s="8">
        <f>ClubDetails!M50</f>
        <v/>
      </c>
      <c r="M24" s="8">
        <f>ClubDetails!J50</f>
        <v/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12">
        <f>IF(SUM(O24:P24)&gt;=5,"Yes","No")</f>
        <v/>
      </c>
      <c r="AA24" s="8">
        <f>IF(SUM(O24:P24)&gt;=5,0,5-SUM(O24:P24))</f>
        <v/>
      </c>
      <c r="AB24" s="12">
        <f>IF(SUM(U24:V24)&gt;=5,"Yes","No")</f>
        <v/>
      </c>
      <c r="AC24" s="8">
        <f>IF(SUM(U24:V24)&gt;=5,0,5-SUM(U24:V24))</f>
        <v/>
      </c>
      <c r="AD24" s="12">
        <f>IF(SUM(X24:Y24)&gt;=5,"Yes","No")</f>
        <v/>
      </c>
      <c r="AE24" s="8">
        <f>IF(SUM(X24:Y24)&gt;=5,0,5-SUM(X24:Y24))</f>
        <v/>
      </c>
    </row>
    <row r="25">
      <c r="A25" s="12" t="n">
        <v>28679199</v>
      </c>
      <c r="B25" s="12" t="inlineStr">
        <is>
          <t>04</t>
        </is>
      </c>
      <c r="C25" s="27" t="inlineStr">
        <is>
          <t>360° Toastmasters Club Bengaluru</t>
        </is>
      </c>
      <c r="D25" s="8">
        <f>ClubDetails!G51</f>
        <v/>
      </c>
      <c r="E25" s="8">
        <f>ClubDetails!H51</f>
        <v/>
      </c>
      <c r="F25" s="8">
        <f>ClubDetails!I51</f>
        <v/>
      </c>
      <c r="G25" s="12">
        <f>IF(F25&lt;5,"-",IF(E25&gt;19,"Yes",IF(E25&gt;D25+2,"Yes","-")))</f>
        <v/>
      </c>
      <c r="H25" s="8">
        <f>ClubDetails!K51</f>
        <v/>
      </c>
      <c r="I25" s="28">
        <f>IF(D25=0,0,H25/D25)</f>
        <v/>
      </c>
      <c r="J25" s="8">
        <f>ClubDetails!L51</f>
        <v/>
      </c>
      <c r="K25" s="28">
        <f>IF(D25=0,0,J25/D25)</f>
        <v/>
      </c>
      <c r="L25" s="8">
        <f>ClubDetails!M51</f>
        <v/>
      </c>
      <c r="M25" s="8">
        <f>ClubDetails!J51</f>
        <v/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12">
        <f>IF(SUM(O25:P25)&gt;=5,"Yes","No")</f>
        <v/>
      </c>
      <c r="AA25" s="8">
        <f>IF(SUM(O25:P25)&gt;=5,0,5-SUM(O25:P25))</f>
        <v/>
      </c>
      <c r="AB25" s="12">
        <f>IF(SUM(U25:V25)&gt;=5,"Yes","No")</f>
        <v/>
      </c>
      <c r="AC25" s="8">
        <f>IF(SUM(U25:V25)&gt;=5,0,5-SUM(U25:V25))</f>
        <v/>
      </c>
      <c r="AD25" s="12">
        <f>IF(SUM(X25:Y25)&gt;=5,"Yes","No")</f>
        <v/>
      </c>
      <c r="AE25" s="8">
        <f>IF(SUM(X25:Y25)&gt;=5,0,5-SUM(X25:Y25))</f>
        <v/>
      </c>
    </row>
    <row r="26">
      <c r="A26" s="24" t="inlineStr">
        <is>
          <t>Total / Average</t>
        </is>
      </c>
      <c r="B26" s="26" t="inlineStr"/>
      <c r="C26" s="26" t="inlineStr"/>
      <c r="D26" s="7">
        <f>SUM(D4:D25)</f>
        <v/>
      </c>
      <c r="E26" s="7">
        <f>SUM(E4:E25)</f>
        <v/>
      </c>
      <c r="F26" s="29">
        <f>AVERAGE(F4:F25)</f>
        <v/>
      </c>
      <c r="G26" s="30">
        <f>COUNTIF(G4:G25,"Yes")</f>
        <v/>
      </c>
      <c r="H26" s="7">
        <f>SUM(H4:H25)</f>
        <v/>
      </c>
      <c r="I26" s="25">
        <f>IF(D26=0,0,H26/D26)</f>
        <v/>
      </c>
      <c r="J26" s="7">
        <f>SUM(J4:J25)</f>
        <v/>
      </c>
      <c r="K26" s="25">
        <f>IF(D26=0,0,J26/D26)</f>
        <v/>
      </c>
      <c r="L26" s="7">
        <f>SUM(L4:L25)</f>
        <v/>
      </c>
      <c r="M26" s="7">
        <f>SUM(M4:M25)</f>
        <v/>
      </c>
      <c r="N26" s="7">
        <f>SUM(N4:N25)</f>
        <v/>
      </c>
      <c r="O26" s="7">
        <f>SUM(O4:O25)</f>
        <v/>
      </c>
      <c r="P26" s="7">
        <f>SUM(P4:P25)</f>
        <v/>
      </c>
      <c r="Q26" s="7">
        <f>SUM(Q4:Q25)</f>
        <v/>
      </c>
      <c r="R26" s="7">
        <f>SUM(R4:R25)</f>
        <v/>
      </c>
      <c r="S26" s="7">
        <f>SUM(S4:S25)</f>
        <v/>
      </c>
      <c r="T26" s="7">
        <f>SUM(T4:T25)</f>
        <v/>
      </c>
      <c r="U26" s="7">
        <f>SUM(U4:U25)</f>
        <v/>
      </c>
      <c r="V26" s="7">
        <f>SUM(V4:V25)</f>
        <v/>
      </c>
      <c r="W26" s="7">
        <f>SUM(W4:W25)</f>
        <v/>
      </c>
      <c r="X26" s="7">
        <f>SUM(X4:X25)</f>
        <v/>
      </c>
      <c r="Y26" s="7">
        <f>SUM(Y4:Y25)</f>
        <v/>
      </c>
      <c r="Z26" s="30">
        <f>COUNTIF(Z4:Z25,"Yes")</f>
        <v/>
      </c>
      <c r="AA26" s="7">
        <f>SUM(AA4:AA25)</f>
        <v/>
      </c>
      <c r="AB26" s="30">
        <f>COUNTIF(AB4:AB25,"Yes")</f>
        <v/>
      </c>
      <c r="AC26" s="7">
        <f>SUM(AC4:AC25)</f>
        <v/>
      </c>
      <c r="AD26" s="30">
        <f>COUNTIF(AD4:AD25,"Yes")</f>
        <v/>
      </c>
      <c r="AE26" s="7">
        <f>SUM(AE4:AE25)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3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C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631732</v>
      </c>
      <c r="B4" s="12" t="inlineStr">
        <is>
          <t>01</t>
        </is>
      </c>
      <c r="C4" s="27" t="inlineStr">
        <is>
          <t>Mahaveer Speakers Forum Toastmaster Club</t>
        </is>
      </c>
      <c r="D4" s="8">
        <f>ClubDetails!G52</f>
        <v/>
      </c>
      <c r="E4" s="8">
        <f>ClubDetails!H52</f>
        <v/>
      </c>
      <c r="F4" s="8">
        <f>ClubDetails!I52</f>
        <v/>
      </c>
      <c r="G4" s="12">
        <f>IF(F4&lt;5,"-",IF(E4&gt;19,"Yes",IF(E4&gt;D4+2,"Yes","-")))</f>
        <v/>
      </c>
      <c r="H4" s="8">
        <f>ClubDetails!K52</f>
        <v/>
      </c>
      <c r="I4" s="28">
        <f>IF(D4=0,0,H4/D4)</f>
        <v/>
      </c>
      <c r="J4" s="8">
        <f>ClubDetails!L52</f>
        <v/>
      </c>
      <c r="K4" s="28">
        <f>IF(D4=0,0,J4/D4)</f>
        <v/>
      </c>
      <c r="L4" s="8">
        <f>ClubDetails!M52</f>
        <v/>
      </c>
      <c r="M4" s="8">
        <f>ClubDetails!J52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632019</v>
      </c>
      <c r="B5" s="12" t="inlineStr">
        <is>
          <t>01</t>
        </is>
      </c>
      <c r="C5" s="27" t="inlineStr">
        <is>
          <t>Jain Speakers Forum Toastmasters Club</t>
        </is>
      </c>
      <c r="D5" s="8">
        <f>ClubDetails!G53</f>
        <v/>
      </c>
      <c r="E5" s="8">
        <f>ClubDetails!H53</f>
        <v/>
      </c>
      <c r="F5" s="8">
        <f>ClubDetails!I53</f>
        <v/>
      </c>
      <c r="G5" s="12">
        <f>IF(F5&lt;5,"-",IF(E5&gt;19,"Yes",IF(E5&gt;D5+2,"Yes","-")))</f>
        <v/>
      </c>
      <c r="H5" s="8">
        <f>ClubDetails!K53</f>
        <v/>
      </c>
      <c r="I5" s="28">
        <f>IF(D5=0,0,H5/D5)</f>
        <v/>
      </c>
      <c r="J5" s="8">
        <f>ClubDetails!L53</f>
        <v/>
      </c>
      <c r="K5" s="28">
        <f>IF(D5=0,0,J5/D5)</f>
        <v/>
      </c>
      <c r="L5" s="8">
        <f>ClubDetails!M53</f>
        <v/>
      </c>
      <c r="M5" s="8">
        <f>ClubDetails!J53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843177</v>
      </c>
      <c r="B6" s="12" t="inlineStr">
        <is>
          <t>01</t>
        </is>
      </c>
      <c r="C6" s="27" t="inlineStr">
        <is>
          <t>Talk Master CMS Toastmasters Club</t>
        </is>
      </c>
      <c r="D6" s="8">
        <f>ClubDetails!G54</f>
        <v/>
      </c>
      <c r="E6" s="8">
        <f>ClubDetails!H54</f>
        <v/>
      </c>
      <c r="F6" s="8">
        <f>ClubDetails!I54</f>
        <v/>
      </c>
      <c r="G6" s="12">
        <f>IF(F6&lt;5,"-",IF(E6&gt;19,"Yes",IF(E6&gt;D6+2,"Yes","-")))</f>
        <v/>
      </c>
      <c r="H6" s="8">
        <f>ClubDetails!K54</f>
        <v/>
      </c>
      <c r="I6" s="28">
        <f>IF(D6=0,0,H6/D6)</f>
        <v/>
      </c>
      <c r="J6" s="8">
        <f>ClubDetails!L54</f>
        <v/>
      </c>
      <c r="K6" s="28">
        <f>IF(D6=0,0,J6/D6)</f>
        <v/>
      </c>
      <c r="L6" s="8">
        <f>ClubDetails!M54</f>
        <v/>
      </c>
      <c r="M6" s="8">
        <f>ClubDetails!J54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843182</v>
      </c>
      <c r="B7" s="12" t="inlineStr">
        <is>
          <t>01</t>
        </is>
      </c>
      <c r="C7" s="27" t="inlineStr">
        <is>
          <t>Speech Master CMS Toastmasters Club</t>
        </is>
      </c>
      <c r="D7" s="8">
        <f>ClubDetails!G55</f>
        <v/>
      </c>
      <c r="E7" s="8">
        <f>ClubDetails!H55</f>
        <v/>
      </c>
      <c r="F7" s="8">
        <f>ClubDetails!I55</f>
        <v/>
      </c>
      <c r="G7" s="12">
        <f>IF(F7&lt;5,"-",IF(E7&gt;19,"Yes",IF(E7&gt;D7+2,"Yes","-")))</f>
        <v/>
      </c>
      <c r="H7" s="8">
        <f>ClubDetails!K55</f>
        <v/>
      </c>
      <c r="I7" s="28">
        <f>IF(D7=0,0,H7/D7)</f>
        <v/>
      </c>
      <c r="J7" s="8">
        <f>ClubDetails!L55</f>
        <v/>
      </c>
      <c r="K7" s="28">
        <f>IF(D7=0,0,J7/D7)</f>
        <v/>
      </c>
      <c r="L7" s="8">
        <f>ClubDetails!M55</f>
        <v/>
      </c>
      <c r="M7" s="8">
        <f>ClubDetails!J55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3926170</v>
      </c>
      <c r="B8" s="12" t="inlineStr">
        <is>
          <t>02</t>
        </is>
      </c>
      <c r="C8" s="27" t="inlineStr">
        <is>
          <t>Textron India Toastmasters Club</t>
        </is>
      </c>
      <c r="D8" s="8">
        <f>ClubDetails!G56</f>
        <v/>
      </c>
      <c r="E8" s="8">
        <f>ClubDetails!H56</f>
        <v/>
      </c>
      <c r="F8" s="8">
        <f>ClubDetails!I56</f>
        <v/>
      </c>
      <c r="G8" s="12">
        <f>IF(F8&lt;5,"-",IF(E8&gt;19,"Yes",IF(E8&gt;D8+2,"Yes","-")))</f>
        <v/>
      </c>
      <c r="H8" s="8">
        <f>ClubDetails!K56</f>
        <v/>
      </c>
      <c r="I8" s="28">
        <f>IF(D8=0,0,H8/D8)</f>
        <v/>
      </c>
      <c r="J8" s="8">
        <f>ClubDetails!L56</f>
        <v/>
      </c>
      <c r="K8" s="28">
        <f>IF(D8=0,0,J8/D8)</f>
        <v/>
      </c>
      <c r="L8" s="8">
        <f>ClubDetails!M56</f>
        <v/>
      </c>
      <c r="M8" s="8">
        <f>ClubDetails!J56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6479232</v>
      </c>
      <c r="B9" s="12" t="inlineStr">
        <is>
          <t>02</t>
        </is>
      </c>
      <c r="C9" s="27" t="inlineStr">
        <is>
          <t>Mphasis Speech Crafters</t>
        </is>
      </c>
      <c r="D9" s="8">
        <f>ClubDetails!G57</f>
        <v/>
      </c>
      <c r="E9" s="8">
        <f>ClubDetails!H57</f>
        <v/>
      </c>
      <c r="F9" s="8">
        <f>ClubDetails!I57</f>
        <v/>
      </c>
      <c r="G9" s="12">
        <f>IF(F9&lt;5,"-",IF(E9&gt;19,"Yes",IF(E9&gt;D9+2,"Yes","-")))</f>
        <v/>
      </c>
      <c r="H9" s="8">
        <f>ClubDetails!K57</f>
        <v/>
      </c>
      <c r="I9" s="28">
        <f>IF(D9=0,0,H9/D9)</f>
        <v/>
      </c>
      <c r="J9" s="8">
        <f>ClubDetails!L57</f>
        <v/>
      </c>
      <c r="K9" s="28">
        <f>IF(D9=0,0,J9/D9)</f>
        <v/>
      </c>
      <c r="L9" s="8">
        <f>ClubDetails!M57</f>
        <v/>
      </c>
      <c r="M9" s="8">
        <f>ClubDetails!J57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7991317</v>
      </c>
      <c r="B10" s="12" t="inlineStr">
        <is>
          <t>02</t>
        </is>
      </c>
      <c r="C10" s="27" t="inlineStr">
        <is>
          <t>Eloquence Elixir Toastmasters</t>
        </is>
      </c>
      <c r="D10" s="8">
        <f>ClubDetails!G58</f>
        <v/>
      </c>
      <c r="E10" s="8">
        <f>ClubDetails!H58</f>
        <v/>
      </c>
      <c r="F10" s="8">
        <f>ClubDetails!I58</f>
        <v/>
      </c>
      <c r="G10" s="12">
        <f>IF(F10&lt;5,"-",IF(E10&gt;19,"Yes",IF(E10&gt;D10+2,"Yes","-")))</f>
        <v/>
      </c>
      <c r="H10" s="8">
        <f>ClubDetails!K58</f>
        <v/>
      </c>
      <c r="I10" s="28">
        <f>IF(D10=0,0,H10/D10)</f>
        <v/>
      </c>
      <c r="J10" s="8">
        <f>ClubDetails!L58</f>
        <v/>
      </c>
      <c r="K10" s="28">
        <f>IF(D10=0,0,J10/D10)</f>
        <v/>
      </c>
      <c r="L10" s="8">
        <f>ClubDetails!M58</f>
        <v/>
      </c>
      <c r="M10" s="8">
        <f>ClubDetails!J58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28676363</v>
      </c>
      <c r="B11" s="12" t="inlineStr">
        <is>
          <t>02</t>
        </is>
      </c>
      <c r="C11" s="27" t="inlineStr">
        <is>
          <t>Nagarabhavi Toastmasters Club</t>
        </is>
      </c>
      <c r="D11" s="8">
        <f>ClubDetails!G59</f>
        <v/>
      </c>
      <c r="E11" s="8">
        <f>ClubDetails!H59</f>
        <v/>
      </c>
      <c r="F11" s="8">
        <f>ClubDetails!I59</f>
        <v/>
      </c>
      <c r="G11" s="12">
        <f>IF(F11&lt;5,"-",IF(E11&gt;19,"Yes",IF(E11&gt;D11+2,"Yes","-")))</f>
        <v/>
      </c>
      <c r="H11" s="8">
        <f>ClubDetails!K59</f>
        <v/>
      </c>
      <c r="I11" s="28">
        <f>IF(D11=0,0,H11/D11)</f>
        <v/>
      </c>
      <c r="J11" s="8">
        <f>ClubDetails!L59</f>
        <v/>
      </c>
      <c r="K11" s="28">
        <f>IF(D11=0,0,J11/D11)</f>
        <v/>
      </c>
      <c r="L11" s="8">
        <f>ClubDetails!M59</f>
        <v/>
      </c>
      <c r="M11" s="8">
        <f>ClubDetails!J59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28677190</v>
      </c>
      <c r="B12" s="12" t="inlineStr">
        <is>
          <t>02</t>
        </is>
      </c>
      <c r="C12" s="27" t="inlineStr">
        <is>
          <t>Christ Kengeri Club</t>
        </is>
      </c>
      <c r="D12" s="8">
        <f>ClubDetails!G60</f>
        <v/>
      </c>
      <c r="E12" s="8">
        <f>ClubDetails!H60</f>
        <v/>
      </c>
      <c r="F12" s="8">
        <f>ClubDetails!I60</f>
        <v/>
      </c>
      <c r="G12" s="12">
        <f>IF(F12&lt;5,"-",IF(E12&gt;19,"Yes",IF(E12&gt;D12+2,"Yes","-")))</f>
        <v/>
      </c>
      <c r="H12" s="8">
        <f>ClubDetails!K60</f>
        <v/>
      </c>
      <c r="I12" s="28">
        <f>IF(D12=0,0,H12/D12)</f>
        <v/>
      </c>
      <c r="J12" s="8">
        <f>ClubDetails!L60</f>
        <v/>
      </c>
      <c r="K12" s="28">
        <f>IF(D12=0,0,J12/D12)</f>
        <v/>
      </c>
      <c r="L12" s="8">
        <f>ClubDetails!M60</f>
        <v/>
      </c>
      <c r="M12" s="8">
        <f>ClubDetails!J60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3793772</v>
      </c>
      <c r="B13" s="12" t="inlineStr">
        <is>
          <t>03</t>
        </is>
      </c>
      <c r="C13" s="27" t="inlineStr">
        <is>
          <t>Utthishta Toastmasters</t>
        </is>
      </c>
      <c r="D13" s="8">
        <f>ClubDetails!G61</f>
        <v/>
      </c>
      <c r="E13" s="8">
        <f>ClubDetails!H61</f>
        <v/>
      </c>
      <c r="F13" s="8">
        <f>ClubDetails!I61</f>
        <v/>
      </c>
      <c r="G13" s="12">
        <f>IF(F13&lt;5,"-",IF(E13&gt;19,"Yes",IF(E13&gt;D13+2,"Yes","-")))</f>
        <v/>
      </c>
      <c r="H13" s="8">
        <f>ClubDetails!K61</f>
        <v/>
      </c>
      <c r="I13" s="28">
        <f>IF(D13=0,0,H13/D13)</f>
        <v/>
      </c>
      <c r="J13" s="8">
        <f>ClubDetails!L61</f>
        <v/>
      </c>
      <c r="K13" s="28">
        <f>IF(D13=0,0,J13/D13)</f>
        <v/>
      </c>
      <c r="L13" s="8">
        <f>ClubDetails!M61</f>
        <v/>
      </c>
      <c r="M13" s="8">
        <f>ClubDetails!J61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6714857</v>
      </c>
      <c r="B14" s="12" t="inlineStr">
        <is>
          <t>03</t>
        </is>
      </c>
      <c r="C14" s="27" t="inlineStr">
        <is>
          <t>Galaxy Toastmasters Club</t>
        </is>
      </c>
      <c r="D14" s="8">
        <f>ClubDetails!G62</f>
        <v/>
      </c>
      <c r="E14" s="8">
        <f>ClubDetails!H62</f>
        <v/>
      </c>
      <c r="F14" s="8">
        <f>ClubDetails!I62</f>
        <v/>
      </c>
      <c r="G14" s="12">
        <f>IF(F14&lt;5,"-",IF(E14&gt;19,"Yes",IF(E14&gt;D14+2,"Yes","-")))</f>
        <v/>
      </c>
      <c r="H14" s="8">
        <f>ClubDetails!K62</f>
        <v/>
      </c>
      <c r="I14" s="28">
        <f>IF(D14=0,0,H14/D14)</f>
        <v/>
      </c>
      <c r="J14" s="8">
        <f>ClubDetails!L62</f>
        <v/>
      </c>
      <c r="K14" s="28">
        <f>IF(D14=0,0,J14/D14)</f>
        <v/>
      </c>
      <c r="L14" s="8">
        <f>ClubDetails!M62</f>
        <v/>
      </c>
      <c r="M14" s="8">
        <f>ClubDetails!J62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7915396</v>
      </c>
      <c r="B15" s="12" t="inlineStr">
        <is>
          <t>03</t>
        </is>
      </c>
      <c r="C15" s="27" t="inlineStr">
        <is>
          <t>Rajajinagar Toastmasters Club</t>
        </is>
      </c>
      <c r="D15" s="8">
        <f>ClubDetails!G63</f>
        <v/>
      </c>
      <c r="E15" s="8">
        <f>ClubDetails!H63</f>
        <v/>
      </c>
      <c r="F15" s="8">
        <f>ClubDetails!I63</f>
        <v/>
      </c>
      <c r="G15" s="12">
        <f>IF(F15&lt;5,"-",IF(E15&gt;19,"Yes",IF(E15&gt;D15+2,"Yes","-")))</f>
        <v/>
      </c>
      <c r="H15" s="8">
        <f>ClubDetails!K63</f>
        <v/>
      </c>
      <c r="I15" s="28">
        <f>IF(D15=0,0,H15/D15)</f>
        <v/>
      </c>
      <c r="J15" s="8">
        <f>ClubDetails!L63</f>
        <v/>
      </c>
      <c r="K15" s="28">
        <f>IF(D15=0,0,J15/D15)</f>
        <v/>
      </c>
      <c r="L15" s="8">
        <f>ClubDetails!M63</f>
        <v/>
      </c>
      <c r="M15" s="8">
        <f>ClubDetails!J63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28677268</v>
      </c>
      <c r="B16" s="12" t="inlineStr">
        <is>
          <t>03</t>
        </is>
      </c>
      <c r="C16" s="27" t="inlineStr">
        <is>
          <t>ABBS Toastmasters Club</t>
        </is>
      </c>
      <c r="D16" s="8">
        <f>ClubDetails!G64</f>
        <v/>
      </c>
      <c r="E16" s="8">
        <f>ClubDetails!H64</f>
        <v/>
      </c>
      <c r="F16" s="8">
        <f>ClubDetails!I64</f>
        <v/>
      </c>
      <c r="G16" s="12">
        <f>IF(F16&lt;5,"-",IF(E16&gt;19,"Yes",IF(E16&gt;D16+2,"Yes","-")))</f>
        <v/>
      </c>
      <c r="H16" s="8">
        <f>ClubDetails!K64</f>
        <v/>
      </c>
      <c r="I16" s="28">
        <f>IF(D16=0,0,H16/D16)</f>
        <v/>
      </c>
      <c r="J16" s="8">
        <f>ClubDetails!L64</f>
        <v/>
      </c>
      <c r="K16" s="28">
        <f>IF(D16=0,0,J16/D16)</f>
        <v/>
      </c>
      <c r="L16" s="8">
        <f>ClubDetails!M64</f>
        <v/>
      </c>
      <c r="M16" s="8">
        <f>ClubDetails!J64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28678948</v>
      </c>
      <c r="B17" s="12" t="inlineStr">
        <is>
          <t>03</t>
        </is>
      </c>
      <c r="C17" s="27" t="inlineStr">
        <is>
          <t>Conversation Catalysts Bangalore</t>
        </is>
      </c>
      <c r="D17" s="8">
        <f>ClubDetails!G65</f>
        <v/>
      </c>
      <c r="E17" s="8">
        <f>ClubDetails!H65</f>
        <v/>
      </c>
      <c r="F17" s="8">
        <f>ClubDetails!I65</f>
        <v/>
      </c>
      <c r="G17" s="12">
        <f>IF(F17&lt;5,"-",IF(E17&gt;19,"Yes",IF(E17&gt;D17+2,"Yes","-")))</f>
        <v/>
      </c>
      <c r="H17" s="8">
        <f>ClubDetails!K65</f>
        <v/>
      </c>
      <c r="I17" s="28">
        <f>IF(D17=0,0,H17/D17)</f>
        <v/>
      </c>
      <c r="J17" s="8">
        <f>ClubDetails!L65</f>
        <v/>
      </c>
      <c r="K17" s="28">
        <f>IF(D17=0,0,J17/D17)</f>
        <v/>
      </c>
      <c r="L17" s="8">
        <f>ClubDetails!M65</f>
        <v/>
      </c>
      <c r="M17" s="8">
        <f>ClubDetails!J65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1389390</v>
      </c>
      <c r="B18" s="12" t="inlineStr">
        <is>
          <t>04</t>
        </is>
      </c>
      <c r="C18" s="27" t="inlineStr">
        <is>
          <t>IIMB Orators Club</t>
        </is>
      </c>
      <c r="D18" s="8">
        <f>ClubDetails!G66</f>
        <v/>
      </c>
      <c r="E18" s="8">
        <f>ClubDetails!H66</f>
        <v/>
      </c>
      <c r="F18" s="8">
        <f>ClubDetails!I66</f>
        <v/>
      </c>
      <c r="G18" s="12">
        <f>IF(F18&lt;5,"-",IF(E18&gt;19,"Yes",IF(E18&gt;D18+2,"Yes","-")))</f>
        <v/>
      </c>
      <c r="H18" s="8">
        <f>ClubDetails!K66</f>
        <v/>
      </c>
      <c r="I18" s="28">
        <f>IF(D18=0,0,H18/D18)</f>
        <v/>
      </c>
      <c r="J18" s="8">
        <f>ClubDetails!L66</f>
        <v/>
      </c>
      <c r="K18" s="28">
        <f>IF(D18=0,0,J18/D18)</f>
        <v/>
      </c>
      <c r="L18" s="8">
        <f>ClubDetails!M66</f>
        <v/>
      </c>
      <c r="M18" s="8">
        <f>ClubDetails!J66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3859695</v>
      </c>
      <c r="B19" s="12" t="inlineStr">
        <is>
          <t>04</t>
        </is>
      </c>
      <c r="C19" s="27" t="inlineStr">
        <is>
          <t>IBC Titans Toastmasters Club</t>
        </is>
      </c>
      <c r="D19" s="8">
        <f>ClubDetails!G67</f>
        <v/>
      </c>
      <c r="E19" s="8">
        <f>ClubDetails!H67</f>
        <v/>
      </c>
      <c r="F19" s="8">
        <f>ClubDetails!I67</f>
        <v/>
      </c>
      <c r="G19" s="12">
        <f>IF(F19&lt;5,"-",IF(E19&gt;19,"Yes",IF(E19&gt;D19+2,"Yes","-")))</f>
        <v/>
      </c>
      <c r="H19" s="8">
        <f>ClubDetails!K67</f>
        <v/>
      </c>
      <c r="I19" s="28">
        <f>IF(D19=0,0,H19/D19)</f>
        <v/>
      </c>
      <c r="J19" s="8">
        <f>ClubDetails!L67</f>
        <v/>
      </c>
      <c r="K19" s="28">
        <f>IF(D19=0,0,J19/D19)</f>
        <v/>
      </c>
      <c r="L19" s="8">
        <f>ClubDetails!M67</f>
        <v/>
      </c>
      <c r="M19" s="8">
        <f>ClubDetails!J67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7514725</v>
      </c>
      <c r="B20" s="12" t="inlineStr">
        <is>
          <t>04</t>
        </is>
      </c>
      <c r="C20" s="27" t="inlineStr">
        <is>
          <t>LKQI Toastmasters Club</t>
        </is>
      </c>
      <c r="D20" s="8">
        <f>ClubDetails!G68</f>
        <v/>
      </c>
      <c r="E20" s="8">
        <f>ClubDetails!H68</f>
        <v/>
      </c>
      <c r="F20" s="8">
        <f>ClubDetails!I68</f>
        <v/>
      </c>
      <c r="G20" s="12">
        <f>IF(F20&lt;5,"-",IF(E20&gt;19,"Yes",IF(E20&gt;D20+2,"Yes","-")))</f>
        <v/>
      </c>
      <c r="H20" s="8">
        <f>ClubDetails!K68</f>
        <v/>
      </c>
      <c r="I20" s="28">
        <f>IF(D20=0,0,H20/D20)</f>
        <v/>
      </c>
      <c r="J20" s="8">
        <f>ClubDetails!L68</f>
        <v/>
      </c>
      <c r="K20" s="28">
        <f>IF(D20=0,0,J20/D20)</f>
        <v/>
      </c>
      <c r="L20" s="8">
        <f>ClubDetails!M68</f>
        <v/>
      </c>
      <c r="M20" s="8">
        <f>ClubDetails!J68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28678224</v>
      </c>
      <c r="B21" s="12" t="inlineStr">
        <is>
          <t>04</t>
        </is>
      </c>
      <c r="C21" s="27" t="inlineStr">
        <is>
          <t>elevaTE Toastmasters Club</t>
        </is>
      </c>
      <c r="D21" s="8">
        <f>ClubDetails!G69</f>
        <v/>
      </c>
      <c r="E21" s="8">
        <f>ClubDetails!H69</f>
        <v/>
      </c>
      <c r="F21" s="8">
        <f>ClubDetails!I69</f>
        <v/>
      </c>
      <c r="G21" s="12">
        <f>IF(F21&lt;5,"-",IF(E21&gt;19,"Yes",IF(E21&gt;D21+2,"Yes","-")))</f>
        <v/>
      </c>
      <c r="H21" s="8">
        <f>ClubDetails!K69</f>
        <v/>
      </c>
      <c r="I21" s="28">
        <f>IF(D21=0,0,H21/D21)</f>
        <v/>
      </c>
      <c r="J21" s="8">
        <f>ClubDetails!L69</f>
        <v/>
      </c>
      <c r="K21" s="28">
        <f>IF(D21=0,0,J21/D21)</f>
        <v/>
      </c>
      <c r="L21" s="8">
        <f>ClubDetails!M69</f>
        <v/>
      </c>
      <c r="M21" s="8">
        <f>ClubDetails!J69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28679581</v>
      </c>
      <c r="B22" s="12" t="inlineStr">
        <is>
          <t>04</t>
        </is>
      </c>
      <c r="C22" s="27" t="inlineStr">
        <is>
          <t>Movius Toastmasters Club</t>
        </is>
      </c>
      <c r="D22" s="8">
        <f>ClubDetails!G70</f>
        <v/>
      </c>
      <c r="E22" s="8">
        <f>ClubDetails!H70</f>
        <v/>
      </c>
      <c r="F22" s="8">
        <f>ClubDetails!I70</f>
        <v/>
      </c>
      <c r="G22" s="12">
        <f>IF(F22&lt;5,"-",IF(E22&gt;19,"Yes",IF(E22&gt;D22+2,"Yes","-")))</f>
        <v/>
      </c>
      <c r="H22" s="8">
        <f>ClubDetails!K70</f>
        <v/>
      </c>
      <c r="I22" s="28">
        <f>IF(D22=0,0,H22/D22)</f>
        <v/>
      </c>
      <c r="J22" s="8">
        <f>ClubDetails!L70</f>
        <v/>
      </c>
      <c r="K22" s="28">
        <f>IF(D22=0,0,J22/D22)</f>
        <v/>
      </c>
      <c r="L22" s="8">
        <f>ClubDetails!M70</f>
        <v/>
      </c>
      <c r="M22" s="8">
        <f>ClubDetails!J70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7">
        <f>SUM(J4:J22)</f>
        <v/>
      </c>
      <c r="K23" s="25">
        <f>IF(D23=0,0,J23/D23)</f>
        <v/>
      </c>
      <c r="L23" s="7">
        <f>SUM(L4:L22)</f>
        <v/>
      </c>
      <c r="M23" s="7">
        <f>SUM(M4:M22)</f>
        <v/>
      </c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30">
        <f>COUNTIF(Z4:Z22,"Yes")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3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2188958</v>
      </c>
      <c r="B4" s="12" t="inlineStr">
        <is>
          <t>01</t>
        </is>
      </c>
      <c r="C4" s="27" t="inlineStr">
        <is>
          <t>Koramangala Toastmasters Club</t>
        </is>
      </c>
      <c r="D4" s="8">
        <f>ClubDetails!G71</f>
        <v/>
      </c>
      <c r="E4" s="8">
        <f>ClubDetails!H71</f>
        <v/>
      </c>
      <c r="F4" s="8">
        <f>ClubDetails!I71</f>
        <v/>
      </c>
      <c r="G4" s="12">
        <f>IF(F4&lt;5,"-",IF(E4&gt;19,"Yes",IF(E4&gt;D4+2,"Yes","-")))</f>
        <v/>
      </c>
      <c r="H4" s="8">
        <f>ClubDetails!K71</f>
        <v/>
      </c>
      <c r="I4" s="28">
        <f>IF(D4=0,0,H4/D4)</f>
        <v/>
      </c>
      <c r="J4" s="8">
        <f>ClubDetails!L71</f>
        <v/>
      </c>
      <c r="K4" s="28">
        <f>IF(D4=0,0,J4/D4)</f>
        <v/>
      </c>
      <c r="L4" s="8">
        <f>ClubDetails!M71</f>
        <v/>
      </c>
      <c r="M4" s="8">
        <f>ClubDetails!J71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5868577</v>
      </c>
      <c r="B5" s="12" t="inlineStr">
        <is>
          <t>01</t>
        </is>
      </c>
      <c r="C5" s="27" t="inlineStr">
        <is>
          <t>Bosch Raconteurs</t>
        </is>
      </c>
      <c r="D5" s="8">
        <f>ClubDetails!G72</f>
        <v/>
      </c>
      <c r="E5" s="8">
        <f>ClubDetails!H72</f>
        <v/>
      </c>
      <c r="F5" s="8">
        <f>ClubDetails!I72</f>
        <v/>
      </c>
      <c r="G5" s="12">
        <f>IF(F5&lt;5,"-",IF(E5&gt;19,"Yes",IF(E5&gt;D5+2,"Yes","-")))</f>
        <v/>
      </c>
      <c r="H5" s="8">
        <f>ClubDetails!K72</f>
        <v/>
      </c>
      <c r="I5" s="28">
        <f>IF(D5=0,0,H5/D5)</f>
        <v/>
      </c>
      <c r="J5" s="8">
        <f>ClubDetails!L72</f>
        <v/>
      </c>
      <c r="K5" s="28">
        <f>IF(D5=0,0,J5/D5)</f>
        <v/>
      </c>
      <c r="L5" s="8">
        <f>ClubDetails!M72</f>
        <v/>
      </c>
      <c r="M5" s="8">
        <f>ClubDetails!J72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28676014</v>
      </c>
      <c r="B6" s="12" t="inlineStr">
        <is>
          <t>01</t>
        </is>
      </c>
      <c r="C6" s="27" t="inlineStr">
        <is>
          <t>Autodesk Toastmasters Club</t>
        </is>
      </c>
      <c r="D6" s="8">
        <f>ClubDetails!G73</f>
        <v/>
      </c>
      <c r="E6" s="8">
        <f>ClubDetails!H73</f>
        <v/>
      </c>
      <c r="F6" s="8">
        <f>ClubDetails!I73</f>
        <v/>
      </c>
      <c r="G6" s="12">
        <f>IF(F6&lt;5,"-",IF(E6&gt;19,"Yes",IF(E6&gt;D6+2,"Yes","-")))</f>
        <v/>
      </c>
      <c r="H6" s="8">
        <f>ClubDetails!K73</f>
        <v/>
      </c>
      <c r="I6" s="28">
        <f>IF(D6=0,0,H6/D6)</f>
        <v/>
      </c>
      <c r="J6" s="8">
        <f>ClubDetails!L73</f>
        <v/>
      </c>
      <c r="K6" s="28">
        <f>IF(D6=0,0,J6/D6)</f>
        <v/>
      </c>
      <c r="L6" s="8">
        <f>ClubDetails!M73</f>
        <v/>
      </c>
      <c r="M6" s="8">
        <f>ClubDetails!J73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28676901</v>
      </c>
      <c r="B7" s="12" t="inlineStr">
        <is>
          <t>01</t>
        </is>
      </c>
      <c r="C7" s="27" t="inlineStr">
        <is>
          <t>Accenture Toasters</t>
        </is>
      </c>
      <c r="D7" s="8">
        <f>ClubDetails!G74</f>
        <v/>
      </c>
      <c r="E7" s="8">
        <f>ClubDetails!H74</f>
        <v/>
      </c>
      <c r="F7" s="8">
        <f>ClubDetails!I74</f>
        <v/>
      </c>
      <c r="G7" s="12">
        <f>IF(F7&lt;5,"-",IF(E7&gt;19,"Yes",IF(E7&gt;D7+2,"Yes","-")))</f>
        <v/>
      </c>
      <c r="H7" s="8">
        <f>ClubDetails!K74</f>
        <v/>
      </c>
      <c r="I7" s="28">
        <f>IF(D7=0,0,H7/D7)</f>
        <v/>
      </c>
      <c r="J7" s="8">
        <f>ClubDetails!L74</f>
        <v/>
      </c>
      <c r="K7" s="28">
        <f>IF(D7=0,0,J7/D7)</f>
        <v/>
      </c>
      <c r="L7" s="8">
        <f>ClubDetails!M74</f>
        <v/>
      </c>
      <c r="M7" s="8">
        <f>ClubDetails!J74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28678701</v>
      </c>
      <c r="B8" s="12" t="inlineStr">
        <is>
          <t>01</t>
        </is>
      </c>
      <c r="C8" s="27" t="inlineStr">
        <is>
          <t>Tavant Speakers Club</t>
        </is>
      </c>
      <c r="D8" s="8">
        <f>ClubDetails!G75</f>
        <v/>
      </c>
      <c r="E8" s="8">
        <f>ClubDetails!H75</f>
        <v/>
      </c>
      <c r="F8" s="8">
        <f>ClubDetails!I75</f>
        <v/>
      </c>
      <c r="G8" s="12">
        <f>IF(F8&lt;5,"-",IF(E8&gt;19,"Yes",IF(E8&gt;D8+2,"Yes","-")))</f>
        <v/>
      </c>
      <c r="H8" s="8">
        <f>ClubDetails!K75</f>
        <v/>
      </c>
      <c r="I8" s="28">
        <f>IF(D8=0,0,H8/D8)</f>
        <v/>
      </c>
      <c r="J8" s="8">
        <f>ClubDetails!L75</f>
        <v/>
      </c>
      <c r="K8" s="28">
        <f>IF(D8=0,0,J8/D8)</f>
        <v/>
      </c>
      <c r="L8" s="8">
        <f>ClubDetails!M75</f>
        <v/>
      </c>
      <c r="M8" s="8">
        <f>ClubDetails!J75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9639</v>
      </c>
      <c r="B9" s="12" t="inlineStr">
        <is>
          <t>02</t>
        </is>
      </c>
      <c r="C9" s="27" t="inlineStr">
        <is>
          <t>Mecon Communication Club</t>
        </is>
      </c>
      <c r="D9" s="8">
        <f>ClubDetails!G76</f>
        <v/>
      </c>
      <c r="E9" s="8">
        <f>ClubDetails!H76</f>
        <v/>
      </c>
      <c r="F9" s="8">
        <f>ClubDetails!I76</f>
        <v/>
      </c>
      <c r="G9" s="12">
        <f>IF(F9&lt;5,"-",IF(E9&gt;19,"Yes",IF(E9&gt;D9+2,"Yes","-")))</f>
        <v/>
      </c>
      <c r="H9" s="8">
        <f>ClubDetails!K76</f>
        <v/>
      </c>
      <c r="I9" s="28">
        <f>IF(D9=0,0,H9/D9)</f>
        <v/>
      </c>
      <c r="J9" s="8">
        <f>ClubDetails!L76</f>
        <v/>
      </c>
      <c r="K9" s="28">
        <f>IF(D9=0,0,J9/D9)</f>
        <v/>
      </c>
      <c r="L9" s="8">
        <f>ClubDetails!M76</f>
        <v/>
      </c>
      <c r="M9" s="8">
        <f>ClubDetails!J76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4329635</v>
      </c>
      <c r="B10" s="12" t="inlineStr">
        <is>
          <t>02</t>
        </is>
      </c>
      <c r="C10" s="27" t="inlineStr">
        <is>
          <t>Tarento India Toastmasters Club</t>
        </is>
      </c>
      <c r="D10" s="8">
        <f>ClubDetails!G77</f>
        <v/>
      </c>
      <c r="E10" s="8">
        <f>ClubDetails!H77</f>
        <v/>
      </c>
      <c r="F10" s="8">
        <f>ClubDetails!I77</f>
        <v/>
      </c>
      <c r="G10" s="12">
        <f>IF(F10&lt;5,"-",IF(E10&gt;19,"Yes",IF(E10&gt;D10+2,"Yes","-")))</f>
        <v/>
      </c>
      <c r="H10" s="8">
        <f>ClubDetails!K77</f>
        <v/>
      </c>
      <c r="I10" s="28">
        <f>IF(D10=0,0,H10/D10)</f>
        <v/>
      </c>
      <c r="J10" s="8">
        <f>ClubDetails!L77</f>
        <v/>
      </c>
      <c r="K10" s="28">
        <f>IF(D10=0,0,J10/D10)</f>
        <v/>
      </c>
      <c r="L10" s="8">
        <f>ClubDetails!M77</f>
        <v/>
      </c>
      <c r="M10" s="8">
        <f>ClubDetails!J77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7734175</v>
      </c>
      <c r="B11" s="12" t="inlineStr">
        <is>
          <t>02</t>
        </is>
      </c>
      <c r="C11" s="27" t="inlineStr">
        <is>
          <t>Republic of Toastmasters</t>
        </is>
      </c>
      <c r="D11" s="8">
        <f>ClubDetails!G78</f>
        <v/>
      </c>
      <c r="E11" s="8">
        <f>ClubDetails!H78</f>
        <v/>
      </c>
      <c r="F11" s="8">
        <f>ClubDetails!I78</f>
        <v/>
      </c>
      <c r="G11" s="12">
        <f>IF(F11&lt;5,"-",IF(E11&gt;19,"Yes",IF(E11&gt;D11+2,"Yes","-")))</f>
        <v/>
      </c>
      <c r="H11" s="8">
        <f>ClubDetails!K78</f>
        <v/>
      </c>
      <c r="I11" s="28">
        <f>IF(D11=0,0,H11/D11)</f>
        <v/>
      </c>
      <c r="J11" s="8">
        <f>ClubDetails!L78</f>
        <v/>
      </c>
      <c r="K11" s="28">
        <f>IF(D11=0,0,J11/D11)</f>
        <v/>
      </c>
      <c r="L11" s="8">
        <f>ClubDetails!M78</f>
        <v/>
      </c>
      <c r="M11" s="8">
        <f>ClubDetails!J78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28676900</v>
      </c>
      <c r="B12" s="12" t="inlineStr">
        <is>
          <t>02</t>
        </is>
      </c>
      <c r="C12" s="27" t="inlineStr">
        <is>
          <t>Acuity Toastmasters Open Mic</t>
        </is>
      </c>
      <c r="D12" s="8">
        <f>ClubDetails!G79</f>
        <v/>
      </c>
      <c r="E12" s="8">
        <f>ClubDetails!H79</f>
        <v/>
      </c>
      <c r="F12" s="8">
        <f>ClubDetails!I79</f>
        <v/>
      </c>
      <c r="G12" s="12">
        <f>IF(F12&lt;5,"-",IF(E12&gt;19,"Yes",IF(E12&gt;D12+2,"Yes","-")))</f>
        <v/>
      </c>
      <c r="H12" s="8">
        <f>ClubDetails!K79</f>
        <v/>
      </c>
      <c r="I12" s="28">
        <f>IF(D12=0,0,H12/D12)</f>
        <v/>
      </c>
      <c r="J12" s="8">
        <f>ClubDetails!L79</f>
        <v/>
      </c>
      <c r="K12" s="28">
        <f>IF(D12=0,0,J12/D12)</f>
        <v/>
      </c>
      <c r="L12" s="8">
        <f>ClubDetails!M79</f>
        <v/>
      </c>
      <c r="M12" s="8">
        <f>ClubDetails!J79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28677046</v>
      </c>
      <c r="B13" s="12" t="inlineStr">
        <is>
          <t>02</t>
        </is>
      </c>
      <c r="C13" s="27" t="inlineStr">
        <is>
          <t>Bosch Adugodi</t>
        </is>
      </c>
      <c r="D13" s="8">
        <f>ClubDetails!G80</f>
        <v/>
      </c>
      <c r="E13" s="8">
        <f>ClubDetails!H80</f>
        <v/>
      </c>
      <c r="F13" s="8">
        <f>ClubDetails!I80</f>
        <v/>
      </c>
      <c r="G13" s="12">
        <f>IF(F13&lt;5,"-",IF(E13&gt;19,"Yes",IF(E13&gt;D13+2,"Yes","-")))</f>
        <v/>
      </c>
      <c r="H13" s="8">
        <f>ClubDetails!K80</f>
        <v/>
      </c>
      <c r="I13" s="28">
        <f>IF(D13=0,0,H13/D13)</f>
        <v/>
      </c>
      <c r="J13" s="8">
        <f>ClubDetails!L80</f>
        <v/>
      </c>
      <c r="K13" s="28">
        <f>IF(D13=0,0,J13/D13)</f>
        <v/>
      </c>
      <c r="L13" s="8">
        <f>ClubDetails!M80</f>
        <v/>
      </c>
      <c r="M13" s="8">
        <f>ClubDetails!J80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28678720</v>
      </c>
      <c r="B14" s="12" t="inlineStr">
        <is>
          <t>02</t>
        </is>
      </c>
      <c r="C14" s="27" t="inlineStr">
        <is>
          <t>Acharyas Speaking Forum</t>
        </is>
      </c>
      <c r="D14" s="8">
        <f>ClubDetails!G81</f>
        <v/>
      </c>
      <c r="E14" s="8">
        <f>ClubDetails!H81</f>
        <v/>
      </c>
      <c r="F14" s="8">
        <f>ClubDetails!I81</f>
        <v/>
      </c>
      <c r="G14" s="12">
        <f>IF(F14&lt;5,"-",IF(E14&gt;19,"Yes",IF(E14&gt;D14+2,"Yes","-")))</f>
        <v/>
      </c>
      <c r="H14" s="8">
        <f>ClubDetails!K81</f>
        <v/>
      </c>
      <c r="I14" s="28">
        <f>IF(D14=0,0,H14/D14)</f>
        <v/>
      </c>
      <c r="J14" s="8">
        <f>ClubDetails!L81</f>
        <v/>
      </c>
      <c r="K14" s="28">
        <f>IF(D14=0,0,J14/D14)</f>
        <v/>
      </c>
      <c r="L14" s="8">
        <f>ClubDetails!M81</f>
        <v/>
      </c>
      <c r="M14" s="8">
        <f>ClubDetails!J81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28678997</v>
      </c>
      <c r="B15" s="12" t="inlineStr">
        <is>
          <t>02</t>
        </is>
      </c>
      <c r="C15" s="27" t="inlineStr">
        <is>
          <t>Paychex Catalyst Crew 2</t>
        </is>
      </c>
      <c r="D15" s="8">
        <f>ClubDetails!G82</f>
        <v/>
      </c>
      <c r="E15" s="8">
        <f>ClubDetails!H82</f>
        <v/>
      </c>
      <c r="F15" s="8">
        <f>ClubDetails!I82</f>
        <v/>
      </c>
      <c r="G15" s="12">
        <f>IF(F15&lt;5,"-",IF(E15&gt;19,"Yes",IF(E15&gt;D15+2,"Yes","-")))</f>
        <v/>
      </c>
      <c r="H15" s="8">
        <f>ClubDetails!K82</f>
        <v/>
      </c>
      <c r="I15" s="28">
        <f>IF(D15=0,0,H15/D15)</f>
        <v/>
      </c>
      <c r="J15" s="8">
        <f>ClubDetails!L82</f>
        <v/>
      </c>
      <c r="K15" s="28">
        <f>IF(D15=0,0,J15/D15)</f>
        <v/>
      </c>
      <c r="L15" s="8">
        <f>ClubDetails!M82</f>
        <v/>
      </c>
      <c r="M15" s="8">
        <f>ClubDetails!J82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5412566</v>
      </c>
      <c r="B16" s="12" t="inlineStr">
        <is>
          <t>03</t>
        </is>
      </c>
      <c r="C16" s="27" t="inlineStr">
        <is>
          <t>RIPPLERS</t>
        </is>
      </c>
      <c r="D16" s="8">
        <f>ClubDetails!G83</f>
        <v/>
      </c>
      <c r="E16" s="8">
        <f>ClubDetails!H83</f>
        <v/>
      </c>
      <c r="F16" s="8">
        <f>ClubDetails!I83</f>
        <v/>
      </c>
      <c r="G16" s="12">
        <f>IF(F16&lt;5,"-",IF(E16&gt;19,"Yes",IF(E16&gt;D16+2,"Yes","-")))</f>
        <v/>
      </c>
      <c r="H16" s="8">
        <f>ClubDetails!K83</f>
        <v/>
      </c>
      <c r="I16" s="28">
        <f>IF(D16=0,0,H16/D16)</f>
        <v/>
      </c>
      <c r="J16" s="8">
        <f>ClubDetails!L83</f>
        <v/>
      </c>
      <c r="K16" s="28">
        <f>IF(D16=0,0,J16/D16)</f>
        <v/>
      </c>
      <c r="L16" s="8">
        <f>ClubDetails!M83</f>
        <v/>
      </c>
      <c r="M16" s="8">
        <f>ClubDetails!J83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6427472</v>
      </c>
      <c r="B17" s="12" t="inlineStr">
        <is>
          <t>03</t>
        </is>
      </c>
      <c r="C17" s="27" t="inlineStr">
        <is>
          <t>Lead India Speakers Club</t>
        </is>
      </c>
      <c r="D17" s="8">
        <f>ClubDetails!G84</f>
        <v/>
      </c>
      <c r="E17" s="8">
        <f>ClubDetails!H84</f>
        <v/>
      </c>
      <c r="F17" s="8">
        <f>ClubDetails!I84</f>
        <v/>
      </c>
      <c r="G17" s="12">
        <f>IF(F17&lt;5,"-",IF(E17&gt;19,"Yes",IF(E17&gt;D17+2,"Yes","-")))</f>
        <v/>
      </c>
      <c r="H17" s="8">
        <f>ClubDetails!K84</f>
        <v/>
      </c>
      <c r="I17" s="28">
        <f>IF(D17=0,0,H17/D17)</f>
        <v/>
      </c>
      <c r="J17" s="8">
        <f>ClubDetails!L84</f>
        <v/>
      </c>
      <c r="K17" s="28">
        <f>IF(D17=0,0,J17/D17)</f>
        <v/>
      </c>
      <c r="L17" s="8">
        <f>ClubDetails!M84</f>
        <v/>
      </c>
      <c r="M17" s="8">
        <f>ClubDetails!J84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7460211</v>
      </c>
      <c r="B18" s="12" t="inlineStr">
        <is>
          <t>03</t>
        </is>
      </c>
      <c r="C18" s="27" t="inlineStr">
        <is>
          <t>WeSpeak Toastmasters Club</t>
        </is>
      </c>
      <c r="D18" s="8">
        <f>ClubDetails!G85</f>
        <v/>
      </c>
      <c r="E18" s="8">
        <f>ClubDetails!H85</f>
        <v/>
      </c>
      <c r="F18" s="8">
        <f>ClubDetails!I85</f>
        <v/>
      </c>
      <c r="G18" s="12">
        <f>IF(F18&lt;5,"-",IF(E18&gt;19,"Yes",IF(E18&gt;D18+2,"Yes","-")))</f>
        <v/>
      </c>
      <c r="H18" s="8">
        <f>ClubDetails!K85</f>
        <v/>
      </c>
      <c r="I18" s="28">
        <f>IF(D18=0,0,H18/D18)</f>
        <v/>
      </c>
      <c r="J18" s="8">
        <f>ClubDetails!L85</f>
        <v/>
      </c>
      <c r="K18" s="28">
        <f>IF(D18=0,0,J18/D18)</f>
        <v/>
      </c>
      <c r="L18" s="8">
        <f>ClubDetails!M85</f>
        <v/>
      </c>
      <c r="M18" s="8">
        <f>ClubDetails!J85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28675492</v>
      </c>
      <c r="B19" s="12" t="inlineStr">
        <is>
          <t>03</t>
        </is>
      </c>
      <c r="C19" s="27" t="inlineStr">
        <is>
          <t>Professional Orators and Leaders TM Club</t>
        </is>
      </c>
      <c r="D19" s="8">
        <f>ClubDetails!G86</f>
        <v/>
      </c>
      <c r="E19" s="8">
        <f>ClubDetails!H86</f>
        <v/>
      </c>
      <c r="F19" s="8">
        <f>ClubDetails!I86</f>
        <v/>
      </c>
      <c r="G19" s="12">
        <f>IF(F19&lt;5,"-",IF(E19&gt;19,"Yes",IF(E19&gt;D19+2,"Yes","-")))</f>
        <v/>
      </c>
      <c r="H19" s="8">
        <f>ClubDetails!K86</f>
        <v/>
      </c>
      <c r="I19" s="28">
        <f>IF(D19=0,0,H19/D19)</f>
        <v/>
      </c>
      <c r="J19" s="8">
        <f>ClubDetails!L86</f>
        <v/>
      </c>
      <c r="K19" s="28">
        <f>IF(D19=0,0,J19/D19)</f>
        <v/>
      </c>
      <c r="L19" s="8">
        <f>ClubDetails!M86</f>
        <v/>
      </c>
      <c r="M19" s="8">
        <f>ClubDetails!J86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28678373</v>
      </c>
      <c r="B20" s="12" t="inlineStr">
        <is>
          <t>03</t>
        </is>
      </c>
      <c r="C20" s="27" t="inlineStr">
        <is>
          <t>Sense-say-tional Toastmasters</t>
        </is>
      </c>
      <c r="D20" s="8">
        <f>ClubDetails!G87</f>
        <v/>
      </c>
      <c r="E20" s="8">
        <f>ClubDetails!H87</f>
        <v/>
      </c>
      <c r="F20" s="8">
        <f>ClubDetails!I87</f>
        <v/>
      </c>
      <c r="G20" s="12">
        <f>IF(F20&lt;5,"-",IF(E20&gt;19,"Yes",IF(E20&gt;D20+2,"Yes","-")))</f>
        <v/>
      </c>
      <c r="H20" s="8">
        <f>ClubDetails!K87</f>
        <v/>
      </c>
      <c r="I20" s="28">
        <f>IF(D20=0,0,H20/D20)</f>
        <v/>
      </c>
      <c r="J20" s="8">
        <f>ClubDetails!L87</f>
        <v/>
      </c>
      <c r="K20" s="28">
        <f>IF(D20=0,0,J20/D20)</f>
        <v/>
      </c>
      <c r="L20" s="8">
        <f>ClubDetails!M87</f>
        <v/>
      </c>
      <c r="M20" s="8">
        <f>ClubDetails!J87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547</v>
      </c>
      <c r="B21" s="12" t="inlineStr">
        <is>
          <t>04</t>
        </is>
      </c>
      <c r="C21" s="27" t="inlineStr">
        <is>
          <t>deejays Toastmasters</t>
        </is>
      </c>
      <c r="D21" s="8">
        <f>ClubDetails!G88</f>
        <v/>
      </c>
      <c r="E21" s="8">
        <f>ClubDetails!H88</f>
        <v/>
      </c>
      <c r="F21" s="8">
        <f>ClubDetails!I88</f>
        <v/>
      </c>
      <c r="G21" s="12">
        <f>IF(F21&lt;5,"-",IF(E21&gt;19,"Yes",IF(E21&gt;D21+2,"Yes","-")))</f>
        <v/>
      </c>
      <c r="H21" s="8">
        <f>ClubDetails!K88</f>
        <v/>
      </c>
      <c r="I21" s="28">
        <f>IF(D21=0,0,H21/D21)</f>
        <v/>
      </c>
      <c r="J21" s="8">
        <f>ClubDetails!L88</f>
        <v/>
      </c>
      <c r="K21" s="28">
        <f>IF(D21=0,0,J21/D21)</f>
        <v/>
      </c>
      <c r="L21" s="8">
        <f>ClubDetails!M88</f>
        <v/>
      </c>
      <c r="M21" s="8">
        <f>ClubDetails!J88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4410336</v>
      </c>
      <c r="B22" s="12" t="inlineStr">
        <is>
          <t>04</t>
        </is>
      </c>
      <c r="C22" s="27" t="inlineStr">
        <is>
          <t>Dhwani Toastmasters</t>
        </is>
      </c>
      <c r="D22" s="8">
        <f>ClubDetails!G89</f>
        <v/>
      </c>
      <c r="E22" s="8">
        <f>ClubDetails!H89</f>
        <v/>
      </c>
      <c r="F22" s="8">
        <f>ClubDetails!I89</f>
        <v/>
      </c>
      <c r="G22" s="12">
        <f>IF(F22&lt;5,"-",IF(E22&gt;19,"Yes",IF(E22&gt;D22+2,"Yes","-")))</f>
        <v/>
      </c>
      <c r="H22" s="8">
        <f>ClubDetails!K89</f>
        <v/>
      </c>
      <c r="I22" s="28">
        <f>IF(D22=0,0,H22/D22)</f>
        <v/>
      </c>
      <c r="J22" s="8">
        <f>ClubDetails!L89</f>
        <v/>
      </c>
      <c r="K22" s="28">
        <f>IF(D22=0,0,J22/D22)</f>
        <v/>
      </c>
      <c r="L22" s="8">
        <f>ClubDetails!M89</f>
        <v/>
      </c>
      <c r="M22" s="8">
        <f>ClubDetails!J89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7502654</v>
      </c>
      <c r="B23" s="12" t="inlineStr">
        <is>
          <t>04</t>
        </is>
      </c>
      <c r="C23" s="27" t="inlineStr">
        <is>
          <t>Transcend Toastmasters Club</t>
        </is>
      </c>
      <c r="D23" s="8">
        <f>ClubDetails!G90</f>
        <v/>
      </c>
      <c r="E23" s="8">
        <f>ClubDetails!H90</f>
        <v/>
      </c>
      <c r="F23" s="8">
        <f>ClubDetails!I90</f>
        <v/>
      </c>
      <c r="G23" s="12">
        <f>IF(F23&lt;5,"-",IF(E23&gt;19,"Yes",IF(E23&gt;D23+2,"Yes","-")))</f>
        <v/>
      </c>
      <c r="H23" s="8">
        <f>ClubDetails!K90</f>
        <v/>
      </c>
      <c r="I23" s="28">
        <f>IF(D23=0,0,H23/D23)</f>
        <v/>
      </c>
      <c r="J23" s="8">
        <f>ClubDetails!L90</f>
        <v/>
      </c>
      <c r="K23" s="28">
        <f>IF(D23=0,0,J23/D23)</f>
        <v/>
      </c>
      <c r="L23" s="8">
        <f>ClubDetails!M90</f>
        <v/>
      </c>
      <c r="M23" s="8">
        <f>ClubDetails!J90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12" t="n">
        <v>7856506</v>
      </c>
      <c r="B24" s="12" t="inlineStr">
        <is>
          <t>04</t>
        </is>
      </c>
      <c r="C24" s="27" t="inlineStr">
        <is>
          <t>Transcend Toastmasters Club - 2</t>
        </is>
      </c>
      <c r="D24" s="8">
        <f>ClubDetails!G91</f>
        <v/>
      </c>
      <c r="E24" s="8">
        <f>ClubDetails!H91</f>
        <v/>
      </c>
      <c r="F24" s="8">
        <f>ClubDetails!I91</f>
        <v/>
      </c>
      <c r="G24" s="12">
        <f>IF(F24&lt;5,"-",IF(E24&gt;19,"Yes",IF(E24&gt;D24+2,"Yes","-")))</f>
        <v/>
      </c>
      <c r="H24" s="8">
        <f>ClubDetails!K91</f>
        <v/>
      </c>
      <c r="I24" s="28">
        <f>IF(D24=0,0,H24/D24)</f>
        <v/>
      </c>
      <c r="J24" s="8">
        <f>ClubDetails!L91</f>
        <v/>
      </c>
      <c r="K24" s="28">
        <f>IF(D24=0,0,J24/D24)</f>
        <v/>
      </c>
      <c r="L24" s="8">
        <f>ClubDetails!M91</f>
        <v/>
      </c>
      <c r="M24" s="8">
        <f>ClubDetails!J91</f>
        <v/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12">
        <f>IF(SUM(O24:P24)&gt;=5,"Yes","No")</f>
        <v/>
      </c>
      <c r="AA24" s="8">
        <f>IF(SUM(O24:P24)&gt;=5,0,5-SUM(O24:P24))</f>
        <v/>
      </c>
      <c r="AB24" s="12">
        <f>IF(SUM(U24:V24)&gt;=5,"Yes","No")</f>
        <v/>
      </c>
      <c r="AC24" s="8">
        <f>IF(SUM(U24:V24)&gt;=5,0,5-SUM(U24:V24))</f>
        <v/>
      </c>
      <c r="AD24" s="12">
        <f>IF(SUM(X24:Y24)&gt;=5,"Yes","No")</f>
        <v/>
      </c>
      <c r="AE24" s="8">
        <f>IF(SUM(X24:Y24)&gt;=5,0,5-SUM(X24:Y24))</f>
        <v/>
      </c>
    </row>
    <row r="25">
      <c r="A25" s="12" t="n">
        <v>7962666</v>
      </c>
      <c r="B25" s="12" t="inlineStr">
        <is>
          <t>04</t>
        </is>
      </c>
      <c r="C25" s="27" t="inlineStr">
        <is>
          <t>Transcend Toastmasters Club 3</t>
        </is>
      </c>
      <c r="D25" s="8">
        <f>ClubDetails!G92</f>
        <v/>
      </c>
      <c r="E25" s="8">
        <f>ClubDetails!H92</f>
        <v/>
      </c>
      <c r="F25" s="8">
        <f>ClubDetails!I92</f>
        <v/>
      </c>
      <c r="G25" s="12">
        <f>IF(F25&lt;5,"-",IF(E25&gt;19,"Yes",IF(E25&gt;D25+2,"Yes","-")))</f>
        <v/>
      </c>
      <c r="H25" s="8">
        <f>ClubDetails!K92</f>
        <v/>
      </c>
      <c r="I25" s="28">
        <f>IF(D25=0,0,H25/D25)</f>
        <v/>
      </c>
      <c r="J25" s="8">
        <f>ClubDetails!L92</f>
        <v/>
      </c>
      <c r="K25" s="28">
        <f>IF(D25=0,0,J25/D25)</f>
        <v/>
      </c>
      <c r="L25" s="8">
        <f>ClubDetails!M92</f>
        <v/>
      </c>
      <c r="M25" s="8">
        <f>ClubDetails!J92</f>
        <v/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12">
        <f>IF(SUM(O25:P25)&gt;=5,"Yes","No")</f>
        <v/>
      </c>
      <c r="AA25" s="8">
        <f>IF(SUM(O25:P25)&gt;=5,0,5-SUM(O25:P25))</f>
        <v/>
      </c>
      <c r="AB25" s="12">
        <f>IF(SUM(U25:V25)&gt;=5,"Yes","No")</f>
        <v/>
      </c>
      <c r="AC25" s="8">
        <f>IF(SUM(U25:V25)&gt;=5,0,5-SUM(U25:V25))</f>
        <v/>
      </c>
      <c r="AD25" s="12">
        <f>IF(SUM(X25:Y25)&gt;=5,"Yes","No")</f>
        <v/>
      </c>
      <c r="AE25" s="8">
        <f>IF(SUM(X25:Y25)&gt;=5,0,5-SUM(X25:Y25))</f>
        <v/>
      </c>
    </row>
    <row r="26">
      <c r="A26" s="24" t="inlineStr">
        <is>
          <t>Total / Average</t>
        </is>
      </c>
      <c r="B26" s="26" t="inlineStr"/>
      <c r="C26" s="26" t="inlineStr"/>
      <c r="D26" s="7">
        <f>SUM(D4:D25)</f>
        <v/>
      </c>
      <c r="E26" s="7">
        <f>SUM(E4:E25)</f>
        <v/>
      </c>
      <c r="F26" s="29">
        <f>AVERAGE(F4:F25)</f>
        <v/>
      </c>
      <c r="G26" s="30">
        <f>COUNTIF(G4:G25,"Yes")</f>
        <v/>
      </c>
      <c r="H26" s="7">
        <f>SUM(H4:H25)</f>
        <v/>
      </c>
      <c r="I26" s="25">
        <f>IF(D26=0,0,H26/D26)</f>
        <v/>
      </c>
      <c r="J26" s="7">
        <f>SUM(J4:J25)</f>
        <v/>
      </c>
      <c r="K26" s="25">
        <f>IF(D26=0,0,J26/D26)</f>
        <v/>
      </c>
      <c r="L26" s="7">
        <f>SUM(L4:L25)</f>
        <v/>
      </c>
      <c r="M26" s="7">
        <f>SUM(M4:M25)</f>
        <v/>
      </c>
      <c r="N26" s="7">
        <f>SUM(N4:N25)</f>
        <v/>
      </c>
      <c r="O26" s="7">
        <f>SUM(O4:O25)</f>
        <v/>
      </c>
      <c r="P26" s="7">
        <f>SUM(P4:P25)</f>
        <v/>
      </c>
      <c r="Q26" s="7">
        <f>SUM(Q4:Q25)</f>
        <v/>
      </c>
      <c r="R26" s="7">
        <f>SUM(R4:R25)</f>
        <v/>
      </c>
      <c r="S26" s="7">
        <f>SUM(S4:S25)</f>
        <v/>
      </c>
      <c r="T26" s="7">
        <f>SUM(T4:T25)</f>
        <v/>
      </c>
      <c r="U26" s="7">
        <f>SUM(U4:U25)</f>
        <v/>
      </c>
      <c r="V26" s="7">
        <f>SUM(V4:V25)</f>
        <v/>
      </c>
      <c r="W26" s="7">
        <f>SUM(W4:W25)</f>
        <v/>
      </c>
      <c r="X26" s="7">
        <f>SUM(X4:X25)</f>
        <v/>
      </c>
      <c r="Y26" s="7">
        <f>SUM(Y4:Y25)</f>
        <v/>
      </c>
      <c r="Z26" s="30">
        <f>COUNTIF(Z4:Z25,"Yes")</f>
        <v/>
      </c>
      <c r="AA26" s="7">
        <f>SUM(AA4:AA25)</f>
        <v/>
      </c>
      <c r="AB26" s="30">
        <f>COUNTIF(AB4:AB25,"Yes")</f>
        <v/>
      </c>
      <c r="AC26" s="7">
        <f>SUM(AC4:AC25)</f>
        <v/>
      </c>
      <c r="AD26" s="30">
        <f>COUNTIF(AD4:AD25,"Yes")</f>
        <v/>
      </c>
      <c r="AE26" s="7">
        <f>SUM(AE4:AE25)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E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4304110</v>
      </c>
      <c r="B4" s="12" t="inlineStr">
        <is>
          <t>01</t>
        </is>
      </c>
      <c r="C4" s="27" t="inlineStr">
        <is>
          <t>Siemens Bangalore Toastmasters Club</t>
        </is>
      </c>
      <c r="D4" s="8">
        <f>ClubDetails!G93</f>
        <v/>
      </c>
      <c r="E4" s="8">
        <f>ClubDetails!H93</f>
        <v/>
      </c>
      <c r="F4" s="8">
        <f>ClubDetails!I93</f>
        <v/>
      </c>
      <c r="G4" s="12">
        <f>IF(F4&lt;5,"-",IF(E4&gt;19,"Yes",IF(E4&gt;D4+2,"Yes","-")))</f>
        <v/>
      </c>
      <c r="H4" s="8">
        <f>ClubDetails!K93</f>
        <v/>
      </c>
      <c r="I4" s="28">
        <f>IF(D4=0,0,H4/D4)</f>
        <v/>
      </c>
      <c r="J4" s="8">
        <f>ClubDetails!L93</f>
        <v/>
      </c>
      <c r="K4" s="28">
        <f>IF(D4=0,0,J4/D4)</f>
        <v/>
      </c>
      <c r="L4" s="8">
        <f>ClubDetails!M93</f>
        <v/>
      </c>
      <c r="M4" s="8">
        <f>ClubDetails!J93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4958536</v>
      </c>
      <c r="B5" s="12" t="inlineStr">
        <is>
          <t>01</t>
        </is>
      </c>
      <c r="C5" s="27" t="inlineStr">
        <is>
          <t>DB Bangalore Toastmasters Club</t>
        </is>
      </c>
      <c r="D5" s="8">
        <f>ClubDetails!G94</f>
        <v/>
      </c>
      <c r="E5" s="8">
        <f>ClubDetails!H94</f>
        <v/>
      </c>
      <c r="F5" s="8">
        <f>ClubDetails!I94</f>
        <v/>
      </c>
      <c r="G5" s="12">
        <f>IF(F5&lt;5,"-",IF(E5&gt;19,"Yes",IF(E5&gt;D5+2,"Yes","-")))</f>
        <v/>
      </c>
      <c r="H5" s="8">
        <f>ClubDetails!K94</f>
        <v/>
      </c>
      <c r="I5" s="28">
        <f>IF(D5=0,0,H5/D5)</f>
        <v/>
      </c>
      <c r="J5" s="8">
        <f>ClubDetails!L94</f>
        <v/>
      </c>
      <c r="K5" s="28">
        <f>IF(D5=0,0,J5/D5)</f>
        <v/>
      </c>
      <c r="L5" s="8">
        <f>ClubDetails!M94</f>
        <v/>
      </c>
      <c r="M5" s="8">
        <f>ClubDetails!J94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5185978</v>
      </c>
      <c r="B6" s="12" t="inlineStr">
        <is>
          <t>01</t>
        </is>
      </c>
      <c r="C6" s="27" t="inlineStr">
        <is>
          <t>Electronics City Toastmasters Club</t>
        </is>
      </c>
      <c r="D6" s="8">
        <f>ClubDetails!G95</f>
        <v/>
      </c>
      <c r="E6" s="8">
        <f>ClubDetails!H95</f>
        <v/>
      </c>
      <c r="F6" s="8">
        <f>ClubDetails!I95</f>
        <v/>
      </c>
      <c r="G6" s="12">
        <f>IF(F6&lt;5,"-",IF(E6&gt;19,"Yes",IF(E6&gt;D6+2,"Yes","-")))</f>
        <v/>
      </c>
      <c r="H6" s="8">
        <f>ClubDetails!K95</f>
        <v/>
      </c>
      <c r="I6" s="28">
        <f>IF(D6=0,0,H6/D6)</f>
        <v/>
      </c>
      <c r="J6" s="8">
        <f>ClubDetails!L95</f>
        <v/>
      </c>
      <c r="K6" s="28">
        <f>IF(D6=0,0,J6/D6)</f>
        <v/>
      </c>
      <c r="L6" s="8">
        <f>ClubDetails!M95</f>
        <v/>
      </c>
      <c r="M6" s="8">
        <f>ClubDetails!J95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28677529</v>
      </c>
      <c r="B7" s="12" t="inlineStr">
        <is>
          <t>01</t>
        </is>
      </c>
      <c r="C7" s="27" t="inlineStr">
        <is>
          <t>HPE Element Toastmasters</t>
        </is>
      </c>
      <c r="D7" s="8">
        <f>ClubDetails!G96</f>
        <v/>
      </c>
      <c r="E7" s="8">
        <f>ClubDetails!H96</f>
        <v/>
      </c>
      <c r="F7" s="8">
        <f>ClubDetails!I96</f>
        <v/>
      </c>
      <c r="G7" s="12">
        <f>IF(F7&lt;5,"-",IF(E7&gt;19,"Yes",IF(E7&gt;D7+2,"Yes","-")))</f>
        <v/>
      </c>
      <c r="H7" s="8">
        <f>ClubDetails!K96</f>
        <v/>
      </c>
      <c r="I7" s="28">
        <f>IF(D7=0,0,H7/D7)</f>
        <v/>
      </c>
      <c r="J7" s="8">
        <f>ClubDetails!L96</f>
        <v/>
      </c>
      <c r="K7" s="28">
        <f>IF(D7=0,0,J7/D7)</f>
        <v/>
      </c>
      <c r="L7" s="8">
        <f>ClubDetails!M96</f>
        <v/>
      </c>
      <c r="M7" s="8">
        <f>ClubDetails!J96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28679397</v>
      </c>
      <c r="B8" s="12" t="inlineStr">
        <is>
          <t>01</t>
        </is>
      </c>
      <c r="C8" s="27" t="inlineStr">
        <is>
          <t>TechM Bengaluru Toastmasters Club</t>
        </is>
      </c>
      <c r="D8" s="8">
        <f>ClubDetails!G97</f>
        <v/>
      </c>
      <c r="E8" s="8">
        <f>ClubDetails!H97</f>
        <v/>
      </c>
      <c r="F8" s="8">
        <f>ClubDetails!I97</f>
        <v/>
      </c>
      <c r="G8" s="12">
        <f>IF(F8&lt;5,"-",IF(E8&gt;19,"Yes",IF(E8&gt;D8+2,"Yes","-")))</f>
        <v/>
      </c>
      <c r="H8" s="8">
        <f>ClubDetails!K97</f>
        <v/>
      </c>
      <c r="I8" s="28">
        <f>IF(D8=0,0,H8/D8)</f>
        <v/>
      </c>
      <c r="J8" s="8">
        <f>ClubDetails!L97</f>
        <v/>
      </c>
      <c r="K8" s="28">
        <f>IF(D8=0,0,J8/D8)</f>
        <v/>
      </c>
      <c r="L8" s="8">
        <f>ClubDetails!M97</f>
        <v/>
      </c>
      <c r="M8" s="8">
        <f>ClubDetails!J97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3674956</v>
      </c>
      <c r="B9" s="12" t="inlineStr">
        <is>
          <t>02</t>
        </is>
      </c>
      <c r="C9" s="27" t="inlineStr">
        <is>
          <t>CGI Elite Speakers Forum</t>
        </is>
      </c>
      <c r="D9" s="8">
        <f>ClubDetails!G98</f>
        <v/>
      </c>
      <c r="E9" s="8">
        <f>ClubDetails!H98</f>
        <v/>
      </c>
      <c r="F9" s="8">
        <f>ClubDetails!I98</f>
        <v/>
      </c>
      <c r="G9" s="12">
        <f>IF(F9&lt;5,"-",IF(E9&gt;19,"Yes",IF(E9&gt;D9+2,"Yes","-")))</f>
        <v/>
      </c>
      <c r="H9" s="8">
        <f>ClubDetails!K98</f>
        <v/>
      </c>
      <c r="I9" s="28">
        <f>IF(D9=0,0,H9/D9)</f>
        <v/>
      </c>
      <c r="J9" s="8">
        <f>ClubDetails!L98</f>
        <v/>
      </c>
      <c r="K9" s="28">
        <f>IF(D9=0,0,J9/D9)</f>
        <v/>
      </c>
      <c r="L9" s="8">
        <f>ClubDetails!M98</f>
        <v/>
      </c>
      <c r="M9" s="8">
        <f>ClubDetails!J98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6975394</v>
      </c>
      <c r="B10" s="12" t="inlineStr">
        <is>
          <t>02</t>
        </is>
      </c>
      <c r="C10" s="27" t="inlineStr">
        <is>
          <t>Toastmasters of HP</t>
        </is>
      </c>
      <c r="D10" s="8">
        <f>ClubDetails!G99</f>
        <v/>
      </c>
      <c r="E10" s="8">
        <f>ClubDetails!H99</f>
        <v/>
      </c>
      <c r="F10" s="8">
        <f>ClubDetails!I99</f>
        <v/>
      </c>
      <c r="G10" s="12">
        <f>IF(F10&lt;5,"-",IF(E10&gt;19,"Yes",IF(E10&gt;D10+2,"Yes","-")))</f>
        <v/>
      </c>
      <c r="H10" s="8">
        <f>ClubDetails!K99</f>
        <v/>
      </c>
      <c r="I10" s="28">
        <f>IF(D10=0,0,H10/D10)</f>
        <v/>
      </c>
      <c r="J10" s="8">
        <f>ClubDetails!L99</f>
        <v/>
      </c>
      <c r="K10" s="28">
        <f>IF(D10=0,0,J10/D10)</f>
        <v/>
      </c>
      <c r="L10" s="8">
        <f>ClubDetails!M99</f>
        <v/>
      </c>
      <c r="M10" s="8">
        <f>ClubDetails!J99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7641558</v>
      </c>
      <c r="B11" s="12" t="inlineStr">
        <is>
          <t>02</t>
        </is>
      </c>
      <c r="C11" s="27" t="inlineStr">
        <is>
          <t>Toast and Tales Toastmasters Club</t>
        </is>
      </c>
      <c r="D11" s="8">
        <f>ClubDetails!G100</f>
        <v/>
      </c>
      <c r="E11" s="8">
        <f>ClubDetails!H100</f>
        <v/>
      </c>
      <c r="F11" s="8">
        <f>ClubDetails!I100</f>
        <v/>
      </c>
      <c r="G11" s="12">
        <f>IF(F11&lt;5,"-",IF(E11&gt;19,"Yes",IF(E11&gt;D11+2,"Yes","-")))</f>
        <v/>
      </c>
      <c r="H11" s="8">
        <f>ClubDetails!K100</f>
        <v/>
      </c>
      <c r="I11" s="28">
        <f>IF(D11=0,0,H11/D11)</f>
        <v/>
      </c>
      <c r="J11" s="8">
        <f>ClubDetails!L100</f>
        <v/>
      </c>
      <c r="K11" s="28">
        <f>IF(D11=0,0,J11/D11)</f>
        <v/>
      </c>
      <c r="L11" s="8">
        <f>ClubDetails!M100</f>
        <v/>
      </c>
      <c r="M11" s="8">
        <f>ClubDetails!J100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28677664</v>
      </c>
      <c r="B12" s="12" t="inlineStr">
        <is>
          <t>02</t>
        </is>
      </c>
      <c r="C12" s="27" t="inlineStr">
        <is>
          <t>Tessolve Toastmasters Club</t>
        </is>
      </c>
      <c r="D12" s="8">
        <f>ClubDetails!G101</f>
        <v/>
      </c>
      <c r="E12" s="8">
        <f>ClubDetails!H101</f>
        <v/>
      </c>
      <c r="F12" s="8">
        <f>ClubDetails!I101</f>
        <v/>
      </c>
      <c r="G12" s="12">
        <f>IF(F12&lt;5,"-",IF(E12&gt;19,"Yes",IF(E12&gt;D12+2,"Yes","-")))</f>
        <v/>
      </c>
      <c r="H12" s="8">
        <f>ClubDetails!K101</f>
        <v/>
      </c>
      <c r="I12" s="28">
        <f>IF(D12=0,0,H12/D12)</f>
        <v/>
      </c>
      <c r="J12" s="8">
        <f>ClubDetails!L101</f>
        <v/>
      </c>
      <c r="K12" s="28">
        <f>IF(D12=0,0,J12/D12)</f>
        <v/>
      </c>
      <c r="L12" s="8">
        <f>ClubDetails!M101</f>
        <v/>
      </c>
      <c r="M12" s="8">
        <f>ClubDetails!J101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7908984</v>
      </c>
      <c r="B13" s="12" t="inlineStr">
        <is>
          <t>03</t>
        </is>
      </c>
      <c r="C13" s="27" t="inlineStr">
        <is>
          <t>RCB Griffin</t>
        </is>
      </c>
      <c r="D13" s="8">
        <f>ClubDetails!G102</f>
        <v/>
      </c>
      <c r="E13" s="8">
        <f>ClubDetails!H102</f>
        <v/>
      </c>
      <c r="F13" s="8">
        <f>ClubDetails!I102</f>
        <v/>
      </c>
      <c r="G13" s="12">
        <f>IF(F13&lt;5,"-",IF(E13&gt;19,"Yes",IF(E13&gt;D13+2,"Yes","-")))</f>
        <v/>
      </c>
      <c r="H13" s="8">
        <f>ClubDetails!K102</f>
        <v/>
      </c>
      <c r="I13" s="28">
        <f>IF(D13=0,0,H13/D13)</f>
        <v/>
      </c>
      <c r="J13" s="8">
        <f>ClubDetails!L102</f>
        <v/>
      </c>
      <c r="K13" s="28">
        <f>IF(D13=0,0,J13/D13)</f>
        <v/>
      </c>
      <c r="L13" s="8">
        <f>ClubDetails!M102</f>
        <v/>
      </c>
      <c r="M13" s="8">
        <f>ClubDetails!J102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7908988</v>
      </c>
      <c r="B14" s="12" t="inlineStr">
        <is>
          <t>03</t>
        </is>
      </c>
      <c r="C14" s="27" t="inlineStr">
        <is>
          <t>RCB Pegasus</t>
        </is>
      </c>
      <c r="D14" s="8">
        <f>ClubDetails!G103</f>
        <v/>
      </c>
      <c r="E14" s="8">
        <f>ClubDetails!H103</f>
        <v/>
      </c>
      <c r="F14" s="8">
        <f>ClubDetails!I103</f>
        <v/>
      </c>
      <c r="G14" s="12">
        <f>IF(F14&lt;5,"-",IF(E14&gt;19,"Yes",IF(E14&gt;D14+2,"Yes","-")))</f>
        <v/>
      </c>
      <c r="H14" s="8">
        <f>ClubDetails!K103</f>
        <v/>
      </c>
      <c r="I14" s="28">
        <f>IF(D14=0,0,H14/D14)</f>
        <v/>
      </c>
      <c r="J14" s="8">
        <f>ClubDetails!L103</f>
        <v/>
      </c>
      <c r="K14" s="28">
        <f>IF(D14=0,0,J14/D14)</f>
        <v/>
      </c>
      <c r="L14" s="8">
        <f>ClubDetails!M103</f>
        <v/>
      </c>
      <c r="M14" s="8">
        <f>ClubDetails!J103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7908991</v>
      </c>
      <c r="B15" s="12" t="inlineStr">
        <is>
          <t>03</t>
        </is>
      </c>
      <c r="C15" s="27" t="inlineStr">
        <is>
          <t>RCB Phoenix</t>
        </is>
      </c>
      <c r="D15" s="8">
        <f>ClubDetails!G104</f>
        <v/>
      </c>
      <c r="E15" s="8">
        <f>ClubDetails!H104</f>
        <v/>
      </c>
      <c r="F15" s="8">
        <f>ClubDetails!I104</f>
        <v/>
      </c>
      <c r="G15" s="12">
        <f>IF(F15&lt;5,"-",IF(E15&gt;19,"Yes",IF(E15&gt;D15+2,"Yes","-")))</f>
        <v/>
      </c>
      <c r="H15" s="8">
        <f>ClubDetails!K104</f>
        <v/>
      </c>
      <c r="I15" s="28">
        <f>IF(D15=0,0,H15/D15)</f>
        <v/>
      </c>
      <c r="J15" s="8">
        <f>ClubDetails!L104</f>
        <v/>
      </c>
      <c r="K15" s="28">
        <f>IF(D15=0,0,J15/D15)</f>
        <v/>
      </c>
      <c r="L15" s="8">
        <f>ClubDetails!M104</f>
        <v/>
      </c>
      <c r="M15" s="8">
        <f>ClubDetails!J104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28677107</v>
      </c>
      <c r="B16" s="12" t="inlineStr">
        <is>
          <t>03</t>
        </is>
      </c>
      <c r="C16" s="27" t="inlineStr">
        <is>
          <t>Ascent Toastmasters Club</t>
        </is>
      </c>
      <c r="D16" s="8">
        <f>ClubDetails!G105</f>
        <v/>
      </c>
      <c r="E16" s="8">
        <f>ClubDetails!H105</f>
        <v/>
      </c>
      <c r="F16" s="8">
        <f>ClubDetails!I105</f>
        <v/>
      </c>
      <c r="G16" s="12">
        <f>IF(F16&lt;5,"-",IF(E16&gt;19,"Yes",IF(E16&gt;D16+2,"Yes","-")))</f>
        <v/>
      </c>
      <c r="H16" s="8">
        <f>ClubDetails!K105</f>
        <v/>
      </c>
      <c r="I16" s="28">
        <f>IF(D16=0,0,H16/D16)</f>
        <v/>
      </c>
      <c r="J16" s="8">
        <f>ClubDetails!L105</f>
        <v/>
      </c>
      <c r="K16" s="28">
        <f>IF(D16=0,0,J16/D16)</f>
        <v/>
      </c>
      <c r="L16" s="8">
        <f>ClubDetails!M105</f>
        <v/>
      </c>
      <c r="M16" s="8">
        <f>ClubDetails!J105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28678026</v>
      </c>
      <c r="B17" s="12" t="inlineStr">
        <is>
          <t>03</t>
        </is>
      </c>
      <c r="C17" s="27" t="inlineStr">
        <is>
          <t>Brighthearts Toastmasters</t>
        </is>
      </c>
      <c r="D17" s="8">
        <f>ClubDetails!G106</f>
        <v/>
      </c>
      <c r="E17" s="8">
        <f>ClubDetails!H106</f>
        <v/>
      </c>
      <c r="F17" s="8">
        <f>ClubDetails!I106</f>
        <v/>
      </c>
      <c r="G17" s="12">
        <f>IF(F17&lt;5,"-",IF(E17&gt;19,"Yes",IF(E17&gt;D17+2,"Yes","-")))</f>
        <v/>
      </c>
      <c r="H17" s="8">
        <f>ClubDetails!K106</f>
        <v/>
      </c>
      <c r="I17" s="28">
        <f>IF(D17=0,0,H17/D17)</f>
        <v/>
      </c>
      <c r="J17" s="8">
        <f>ClubDetails!L106</f>
        <v/>
      </c>
      <c r="K17" s="28">
        <f>IF(D17=0,0,J17/D17)</f>
        <v/>
      </c>
      <c r="L17" s="8">
        <f>ClubDetails!M106</f>
        <v/>
      </c>
      <c r="M17" s="8">
        <f>ClubDetails!J106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28678996</v>
      </c>
      <c r="B18" s="12" t="inlineStr">
        <is>
          <t>03</t>
        </is>
      </c>
      <c r="C18" s="27" t="inlineStr">
        <is>
          <t>Paychex Catalyst Crew 1</t>
        </is>
      </c>
      <c r="D18" s="8">
        <f>ClubDetails!G107</f>
        <v/>
      </c>
      <c r="E18" s="8">
        <f>ClubDetails!H107</f>
        <v/>
      </c>
      <c r="F18" s="8">
        <f>ClubDetails!I107</f>
        <v/>
      </c>
      <c r="G18" s="12">
        <f>IF(F18&lt;5,"-",IF(E18&gt;19,"Yes",IF(E18&gt;D18+2,"Yes","-")))</f>
        <v/>
      </c>
      <c r="H18" s="8">
        <f>ClubDetails!K107</f>
        <v/>
      </c>
      <c r="I18" s="28">
        <f>IF(D18=0,0,H18/D18)</f>
        <v/>
      </c>
      <c r="J18" s="8">
        <f>ClubDetails!L107</f>
        <v/>
      </c>
      <c r="K18" s="28">
        <f>IF(D18=0,0,J18/D18)</f>
        <v/>
      </c>
      <c r="L18" s="8">
        <f>ClubDetails!M107</f>
        <v/>
      </c>
      <c r="M18" s="8">
        <f>ClubDetails!J107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9688</v>
      </c>
      <c r="B19" s="12" t="inlineStr">
        <is>
          <t>04</t>
        </is>
      </c>
      <c r="C19" s="27" t="inlineStr">
        <is>
          <t>Infosys Toastmasters, Bangalore</t>
        </is>
      </c>
      <c r="D19" s="8">
        <f>ClubDetails!G108</f>
        <v/>
      </c>
      <c r="E19" s="8">
        <f>ClubDetails!H108</f>
        <v/>
      </c>
      <c r="F19" s="8">
        <f>ClubDetails!I108</f>
        <v/>
      </c>
      <c r="G19" s="12">
        <f>IF(F19&lt;5,"-",IF(E19&gt;19,"Yes",IF(E19&gt;D19+2,"Yes","-")))</f>
        <v/>
      </c>
      <c r="H19" s="8">
        <f>ClubDetails!K108</f>
        <v/>
      </c>
      <c r="I19" s="28">
        <f>IF(D19=0,0,H19/D19)</f>
        <v/>
      </c>
      <c r="J19" s="8">
        <f>ClubDetails!L108</f>
        <v/>
      </c>
      <c r="K19" s="28">
        <f>IF(D19=0,0,J19/D19)</f>
        <v/>
      </c>
      <c r="L19" s="8">
        <f>ClubDetails!M108</f>
        <v/>
      </c>
      <c r="M19" s="8">
        <f>ClubDetails!J108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5843852</v>
      </c>
      <c r="B20" s="12" t="inlineStr">
        <is>
          <t>04</t>
        </is>
      </c>
      <c r="C20" s="27" t="inlineStr">
        <is>
          <t>HSR Toastmasters Club</t>
        </is>
      </c>
      <c r="D20" s="8">
        <f>ClubDetails!G109</f>
        <v/>
      </c>
      <c r="E20" s="8">
        <f>ClubDetails!H109</f>
        <v/>
      </c>
      <c r="F20" s="8">
        <f>ClubDetails!I109</f>
        <v/>
      </c>
      <c r="G20" s="12">
        <f>IF(F20&lt;5,"-",IF(E20&gt;19,"Yes",IF(E20&gt;D20+2,"Yes","-")))</f>
        <v/>
      </c>
      <c r="H20" s="8">
        <f>ClubDetails!K109</f>
        <v/>
      </c>
      <c r="I20" s="28">
        <f>IF(D20=0,0,H20/D20)</f>
        <v/>
      </c>
      <c r="J20" s="8">
        <f>ClubDetails!L109</f>
        <v/>
      </c>
      <c r="K20" s="28">
        <f>IF(D20=0,0,J20/D20)</f>
        <v/>
      </c>
      <c r="L20" s="8">
        <f>ClubDetails!M109</f>
        <v/>
      </c>
      <c r="M20" s="8">
        <f>ClubDetails!J109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7586759</v>
      </c>
      <c r="B21" s="12" t="inlineStr">
        <is>
          <t>04</t>
        </is>
      </c>
      <c r="C21" s="27" t="inlineStr">
        <is>
          <t>MOOG Flyers</t>
        </is>
      </c>
      <c r="D21" s="8">
        <f>ClubDetails!G110</f>
        <v/>
      </c>
      <c r="E21" s="8">
        <f>ClubDetails!H110</f>
        <v/>
      </c>
      <c r="F21" s="8">
        <f>ClubDetails!I110</f>
        <v/>
      </c>
      <c r="G21" s="12">
        <f>IF(F21&lt;5,"-",IF(E21&gt;19,"Yes",IF(E21&gt;D21+2,"Yes","-")))</f>
        <v/>
      </c>
      <c r="H21" s="8">
        <f>ClubDetails!K110</f>
        <v/>
      </c>
      <c r="I21" s="28">
        <f>IF(D21=0,0,H21/D21)</f>
        <v/>
      </c>
      <c r="J21" s="8">
        <f>ClubDetails!L110</f>
        <v/>
      </c>
      <c r="K21" s="28">
        <f>IF(D21=0,0,J21/D21)</f>
        <v/>
      </c>
      <c r="L21" s="8">
        <f>ClubDetails!M110</f>
        <v/>
      </c>
      <c r="M21" s="8">
        <f>ClubDetails!J110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7959873</v>
      </c>
      <c r="B22" s="12" t="inlineStr">
        <is>
          <t>04</t>
        </is>
      </c>
      <c r="C22" s="27" t="inlineStr">
        <is>
          <t>Wipro House of Speakers</t>
        </is>
      </c>
      <c r="D22" s="8">
        <f>ClubDetails!G111</f>
        <v/>
      </c>
      <c r="E22" s="8">
        <f>ClubDetails!H111</f>
        <v/>
      </c>
      <c r="F22" s="8">
        <f>ClubDetails!I111</f>
        <v/>
      </c>
      <c r="G22" s="12">
        <f>IF(F22&lt;5,"-",IF(E22&gt;19,"Yes",IF(E22&gt;D22+2,"Yes","-")))</f>
        <v/>
      </c>
      <c r="H22" s="8">
        <f>ClubDetails!K111</f>
        <v/>
      </c>
      <c r="I22" s="28">
        <f>IF(D22=0,0,H22/D22)</f>
        <v/>
      </c>
      <c r="J22" s="8">
        <f>ClubDetails!L111</f>
        <v/>
      </c>
      <c r="K22" s="28">
        <f>IF(D22=0,0,J22/D22)</f>
        <v/>
      </c>
      <c r="L22" s="8">
        <f>ClubDetails!M111</f>
        <v/>
      </c>
      <c r="M22" s="8">
        <f>ClubDetails!J111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28675609</v>
      </c>
      <c r="B23" s="12" t="inlineStr">
        <is>
          <t>04</t>
        </is>
      </c>
      <c r="C23" s="27" t="inlineStr">
        <is>
          <t>Greenage Toastmasters Club</t>
        </is>
      </c>
      <c r="D23" s="8">
        <f>ClubDetails!G112</f>
        <v/>
      </c>
      <c r="E23" s="8">
        <f>ClubDetails!H112</f>
        <v/>
      </c>
      <c r="F23" s="8">
        <f>ClubDetails!I112</f>
        <v/>
      </c>
      <c r="G23" s="12">
        <f>IF(F23&lt;5,"-",IF(E23&gt;19,"Yes",IF(E23&gt;D23+2,"Yes","-")))</f>
        <v/>
      </c>
      <c r="H23" s="8">
        <f>ClubDetails!K112</f>
        <v/>
      </c>
      <c r="I23" s="28">
        <f>IF(D23=0,0,H23/D23)</f>
        <v/>
      </c>
      <c r="J23" s="8">
        <f>ClubDetails!L112</f>
        <v/>
      </c>
      <c r="K23" s="28">
        <f>IF(D23=0,0,J23/D23)</f>
        <v/>
      </c>
      <c r="L23" s="8">
        <f>ClubDetails!M112</f>
        <v/>
      </c>
      <c r="M23" s="8">
        <f>ClubDetails!J112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24" t="inlineStr">
        <is>
          <t>Total / Average</t>
        </is>
      </c>
      <c r="B24" s="26" t="inlineStr"/>
      <c r="C24" s="26" t="inlineStr"/>
      <c r="D24" s="7">
        <f>SUM(D4:D23)</f>
        <v/>
      </c>
      <c r="E24" s="7">
        <f>SUM(E4:E23)</f>
        <v/>
      </c>
      <c r="F24" s="29">
        <f>AVERAGE(F4:F23)</f>
        <v/>
      </c>
      <c r="G24" s="30">
        <f>COUNTIF(G4:G23,"Yes")</f>
        <v/>
      </c>
      <c r="H24" s="7">
        <f>SUM(H4:H23)</f>
        <v/>
      </c>
      <c r="I24" s="25">
        <f>IF(D24=0,0,H24/D24)</f>
        <v/>
      </c>
      <c r="J24" s="7">
        <f>SUM(J4:J23)</f>
        <v/>
      </c>
      <c r="K24" s="25">
        <f>IF(D24=0,0,J24/D24)</f>
        <v/>
      </c>
      <c r="L24" s="7">
        <f>SUM(L4:L23)</f>
        <v/>
      </c>
      <c r="M24" s="7">
        <f>SUM(M4:M23)</f>
        <v/>
      </c>
      <c r="N24" s="7">
        <f>SUM(N4:N23)</f>
        <v/>
      </c>
      <c r="O24" s="7">
        <f>SUM(O4:O23)</f>
        <v/>
      </c>
      <c r="P24" s="7">
        <f>SUM(P4:P23)</f>
        <v/>
      </c>
      <c r="Q24" s="7">
        <f>SUM(Q4:Q23)</f>
        <v/>
      </c>
      <c r="R24" s="7">
        <f>SUM(R4:R23)</f>
        <v/>
      </c>
      <c r="S24" s="7">
        <f>SUM(S4:S23)</f>
        <v/>
      </c>
      <c r="T24" s="7">
        <f>SUM(T4:T23)</f>
        <v/>
      </c>
      <c r="U24" s="7">
        <f>SUM(U4:U23)</f>
        <v/>
      </c>
      <c r="V24" s="7">
        <f>SUM(V4:V23)</f>
        <v/>
      </c>
      <c r="W24" s="7">
        <f>SUM(W4:W23)</f>
        <v/>
      </c>
      <c r="X24" s="7">
        <f>SUM(X4:X23)</f>
        <v/>
      </c>
      <c r="Y24" s="7">
        <f>SUM(Y4:Y23)</f>
        <v/>
      </c>
      <c r="Z24" s="30">
        <f>COUNTIF(Z4:Z23,"Yes")</f>
        <v/>
      </c>
      <c r="AA24" s="7">
        <f>SUM(AA4:AA23)</f>
        <v/>
      </c>
      <c r="AB24" s="30">
        <f>COUNTIF(AB4:AB23,"Yes")</f>
        <v/>
      </c>
      <c r="AC24" s="7">
        <f>SUM(AC4:AC23)</f>
        <v/>
      </c>
      <c r="AD24" s="30">
        <f>COUNTIF(AD4:AD23,"Yes")</f>
        <v/>
      </c>
      <c r="AE24" s="7">
        <f>SUM(AE4:AE23)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F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4184180</v>
      </c>
      <c r="B4" s="12" t="inlineStr">
        <is>
          <t>01</t>
        </is>
      </c>
      <c r="C4" s="27" t="inlineStr">
        <is>
          <t>Deshpande Educational Trust Toastmasters Club</t>
        </is>
      </c>
      <c r="D4" s="8">
        <f>ClubDetails!G113</f>
        <v/>
      </c>
      <c r="E4" s="8">
        <f>ClubDetails!H113</f>
        <v/>
      </c>
      <c r="F4" s="8">
        <f>ClubDetails!I113</f>
        <v/>
      </c>
      <c r="G4" s="12">
        <f>IF(F4&lt;5,"-",IF(E4&gt;19,"Yes",IF(E4&gt;D4+2,"Yes","-")))</f>
        <v/>
      </c>
      <c r="H4" s="8">
        <f>ClubDetails!K113</f>
        <v/>
      </c>
      <c r="I4" s="28">
        <f>IF(D4=0,0,H4/D4)</f>
        <v/>
      </c>
      <c r="J4" s="8">
        <f>ClubDetails!L113</f>
        <v/>
      </c>
      <c r="K4" s="28">
        <f>IF(D4=0,0,J4/D4)</f>
        <v/>
      </c>
      <c r="L4" s="8">
        <f>ClubDetails!M113</f>
        <v/>
      </c>
      <c r="M4" s="8">
        <f>ClubDetails!J113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6988591</v>
      </c>
      <c r="B5" s="12" t="inlineStr">
        <is>
          <t>01</t>
        </is>
      </c>
      <c r="C5" s="27" t="inlineStr">
        <is>
          <t>SDMCET Toastmasters Club</t>
        </is>
      </c>
      <c r="D5" s="8">
        <f>ClubDetails!G114</f>
        <v/>
      </c>
      <c r="E5" s="8">
        <f>ClubDetails!H114</f>
        <v/>
      </c>
      <c r="F5" s="8">
        <f>ClubDetails!I114</f>
        <v/>
      </c>
      <c r="G5" s="12">
        <f>IF(F5&lt;5,"-",IF(E5&gt;19,"Yes",IF(E5&gt;D5+2,"Yes","-")))</f>
        <v/>
      </c>
      <c r="H5" s="8">
        <f>ClubDetails!K114</f>
        <v/>
      </c>
      <c r="I5" s="28">
        <f>IF(D5=0,0,H5/D5)</f>
        <v/>
      </c>
      <c r="J5" s="8">
        <f>ClubDetails!L114</f>
        <v/>
      </c>
      <c r="K5" s="28">
        <f>IF(D5=0,0,J5/D5)</f>
        <v/>
      </c>
      <c r="L5" s="8">
        <f>ClubDetails!M114</f>
        <v/>
      </c>
      <c r="M5" s="8">
        <f>ClubDetails!J114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7712481</v>
      </c>
      <c r="B6" s="12" t="inlineStr">
        <is>
          <t>01</t>
        </is>
      </c>
      <c r="C6" s="27" t="inlineStr">
        <is>
          <t>Toastmasters For Hubballi Entrepreneurs</t>
        </is>
      </c>
      <c r="D6" s="8">
        <f>ClubDetails!G115</f>
        <v/>
      </c>
      <c r="E6" s="8">
        <f>ClubDetails!H115</f>
        <v/>
      </c>
      <c r="F6" s="8">
        <f>ClubDetails!I115</f>
        <v/>
      </c>
      <c r="G6" s="12">
        <f>IF(F6&lt;5,"-",IF(E6&gt;19,"Yes",IF(E6&gt;D6+2,"Yes","-")))</f>
        <v/>
      </c>
      <c r="H6" s="8">
        <f>ClubDetails!K115</f>
        <v/>
      </c>
      <c r="I6" s="28">
        <f>IF(D6=0,0,H6/D6)</f>
        <v/>
      </c>
      <c r="J6" s="8">
        <f>ClubDetails!L115</f>
        <v/>
      </c>
      <c r="K6" s="28">
        <f>IF(D6=0,0,J6/D6)</f>
        <v/>
      </c>
      <c r="L6" s="8">
        <f>ClubDetails!M115</f>
        <v/>
      </c>
      <c r="M6" s="8">
        <f>ClubDetails!J115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28678921</v>
      </c>
      <c r="B7" s="12" t="inlineStr">
        <is>
          <t>01</t>
        </is>
      </c>
      <c r="C7" s="27" t="inlineStr">
        <is>
          <t>InfyHubliVox Toastmasters Club</t>
        </is>
      </c>
      <c r="D7" s="8">
        <f>ClubDetails!G116</f>
        <v/>
      </c>
      <c r="E7" s="8">
        <f>ClubDetails!H116</f>
        <v/>
      </c>
      <c r="F7" s="8">
        <f>ClubDetails!I116</f>
        <v/>
      </c>
      <c r="G7" s="12">
        <f>IF(F7&lt;5,"-",IF(E7&gt;19,"Yes",IF(E7&gt;D7+2,"Yes","-")))</f>
        <v/>
      </c>
      <c r="H7" s="8">
        <f>ClubDetails!K116</f>
        <v/>
      </c>
      <c r="I7" s="28">
        <f>IF(D7=0,0,H7/D7)</f>
        <v/>
      </c>
      <c r="J7" s="8">
        <f>ClubDetails!L116</f>
        <v/>
      </c>
      <c r="K7" s="28">
        <f>IF(D7=0,0,J7/D7)</f>
        <v/>
      </c>
      <c r="L7" s="8">
        <f>ClubDetails!M116</f>
        <v/>
      </c>
      <c r="M7" s="8">
        <f>ClubDetails!J116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28679896</v>
      </c>
      <c r="B8" s="12" t="inlineStr">
        <is>
          <t>01</t>
        </is>
      </c>
      <c r="C8" s="27" t="inlineStr">
        <is>
          <t>Chilli Champions Toastmasters Club</t>
        </is>
      </c>
      <c r="D8" s="8">
        <f>ClubDetails!G117</f>
        <v/>
      </c>
      <c r="E8" s="8">
        <f>ClubDetails!H117</f>
        <v/>
      </c>
      <c r="F8" s="8">
        <f>ClubDetails!I117</f>
        <v/>
      </c>
      <c r="G8" s="12">
        <f>IF(F8&lt;5,"-",IF(E8&gt;19,"Yes",IF(E8&gt;D8+2,"Yes","-")))</f>
        <v/>
      </c>
      <c r="H8" s="8">
        <f>ClubDetails!K117</f>
        <v/>
      </c>
      <c r="I8" s="28">
        <f>IF(D8=0,0,H8/D8)</f>
        <v/>
      </c>
      <c r="J8" s="8">
        <f>ClubDetails!L117</f>
        <v/>
      </c>
      <c r="K8" s="28">
        <f>IF(D8=0,0,J8/D8)</f>
        <v/>
      </c>
      <c r="L8" s="8">
        <f>ClubDetails!M117</f>
        <v/>
      </c>
      <c r="M8" s="8">
        <f>ClubDetails!J117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28680663</v>
      </c>
      <c r="B9" s="12" t="inlineStr">
        <is>
          <t>01</t>
        </is>
      </c>
      <c r="C9" s="27" t="inlineStr">
        <is>
          <t>SPS Toastmasters Club</t>
        </is>
      </c>
      <c r="D9" s="8">
        <f>ClubDetails!G118</f>
        <v/>
      </c>
      <c r="E9" s="8">
        <f>ClubDetails!H118</f>
        <v/>
      </c>
      <c r="F9" s="8">
        <f>ClubDetails!I118</f>
        <v/>
      </c>
      <c r="G9" s="12">
        <f>IF(F9&lt;5,"-",IF(E9&gt;19,"Yes",IF(E9&gt;D9+2,"Yes","-")))</f>
        <v/>
      </c>
      <c r="H9" s="8">
        <f>ClubDetails!K118</f>
        <v/>
      </c>
      <c r="I9" s="28">
        <f>IF(D9=0,0,H9/D9)</f>
        <v/>
      </c>
      <c r="J9" s="8">
        <f>ClubDetails!L118</f>
        <v/>
      </c>
      <c r="K9" s="28">
        <f>IF(D9=0,0,J9/D9)</f>
        <v/>
      </c>
      <c r="L9" s="8">
        <f>ClubDetails!M118</f>
        <v/>
      </c>
      <c r="M9" s="8">
        <f>ClubDetails!J118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6997339</v>
      </c>
      <c r="B10" s="12" t="inlineStr">
        <is>
          <t>02</t>
        </is>
      </c>
      <c r="C10" s="27" t="inlineStr">
        <is>
          <t>KLS IMER Toastmasters</t>
        </is>
      </c>
      <c r="D10" s="8">
        <f>ClubDetails!G119</f>
        <v/>
      </c>
      <c r="E10" s="8">
        <f>ClubDetails!H119</f>
        <v/>
      </c>
      <c r="F10" s="8">
        <f>ClubDetails!I119</f>
        <v/>
      </c>
      <c r="G10" s="12">
        <f>IF(F10&lt;5,"-",IF(E10&gt;19,"Yes",IF(E10&gt;D10+2,"Yes","-")))</f>
        <v/>
      </c>
      <c r="H10" s="8">
        <f>ClubDetails!K119</f>
        <v/>
      </c>
      <c r="I10" s="28">
        <f>IF(D10=0,0,H10/D10)</f>
        <v/>
      </c>
      <c r="J10" s="8">
        <f>ClubDetails!L119</f>
        <v/>
      </c>
      <c r="K10" s="28">
        <f>IF(D10=0,0,J10/D10)</f>
        <v/>
      </c>
      <c r="L10" s="8">
        <f>ClubDetails!M119</f>
        <v/>
      </c>
      <c r="M10" s="8">
        <f>ClubDetails!J119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7335393</v>
      </c>
      <c r="B11" s="12" t="inlineStr">
        <is>
          <t>02</t>
        </is>
      </c>
      <c r="C11" s="27" t="inlineStr">
        <is>
          <t>Shivamogga Toastmasters</t>
        </is>
      </c>
      <c r="D11" s="8">
        <f>ClubDetails!G120</f>
        <v/>
      </c>
      <c r="E11" s="8">
        <f>ClubDetails!H120</f>
        <v/>
      </c>
      <c r="F11" s="8">
        <f>ClubDetails!I120</f>
        <v/>
      </c>
      <c r="G11" s="12">
        <f>IF(F11&lt;5,"-",IF(E11&gt;19,"Yes",IF(E11&gt;D11+2,"Yes","-")))</f>
        <v/>
      </c>
      <c r="H11" s="8">
        <f>ClubDetails!K120</f>
        <v/>
      </c>
      <c r="I11" s="28">
        <f>IF(D11=0,0,H11/D11)</f>
        <v/>
      </c>
      <c r="J11" s="8">
        <f>ClubDetails!L120</f>
        <v/>
      </c>
      <c r="K11" s="28">
        <f>IF(D11=0,0,J11/D11)</f>
        <v/>
      </c>
      <c r="L11" s="8">
        <f>ClubDetails!M120</f>
        <v/>
      </c>
      <c r="M11" s="8">
        <f>ClubDetails!J120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7826939</v>
      </c>
      <c r="B12" s="12" t="inlineStr">
        <is>
          <t>02</t>
        </is>
      </c>
      <c r="C12" s="27" t="inlineStr">
        <is>
          <t>Kannada English Bilingual Toastmasters Club</t>
        </is>
      </c>
      <c r="D12" s="8">
        <f>ClubDetails!G121</f>
        <v/>
      </c>
      <c r="E12" s="8">
        <f>ClubDetails!H121</f>
        <v/>
      </c>
      <c r="F12" s="8">
        <f>ClubDetails!I121</f>
        <v/>
      </c>
      <c r="G12" s="12">
        <f>IF(F12&lt;5,"-",IF(E12&gt;19,"Yes",IF(E12&gt;D12+2,"Yes","-")))</f>
        <v/>
      </c>
      <c r="H12" s="8">
        <f>ClubDetails!K121</f>
        <v/>
      </c>
      <c r="I12" s="28">
        <f>IF(D12=0,0,H12/D12)</f>
        <v/>
      </c>
      <c r="J12" s="8">
        <f>ClubDetails!L121</f>
        <v/>
      </c>
      <c r="K12" s="28">
        <f>IF(D12=0,0,J12/D12)</f>
        <v/>
      </c>
      <c r="L12" s="8">
        <f>ClubDetails!M121</f>
        <v/>
      </c>
      <c r="M12" s="8">
        <f>ClubDetails!J121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28675688</v>
      </c>
      <c r="B13" s="12" t="inlineStr">
        <is>
          <t>02</t>
        </is>
      </c>
      <c r="C13" s="27" t="inlineStr">
        <is>
          <t>APS Toastmasters Club</t>
        </is>
      </c>
      <c r="D13" s="8">
        <f>ClubDetails!G122</f>
        <v/>
      </c>
      <c r="E13" s="8">
        <f>ClubDetails!H122</f>
        <v/>
      </c>
      <c r="F13" s="8">
        <f>ClubDetails!I122</f>
        <v/>
      </c>
      <c r="G13" s="12">
        <f>IF(F13&lt;5,"-",IF(E13&gt;19,"Yes",IF(E13&gt;D13+2,"Yes","-")))</f>
        <v/>
      </c>
      <c r="H13" s="8">
        <f>ClubDetails!K122</f>
        <v/>
      </c>
      <c r="I13" s="28">
        <f>IF(D13=0,0,H13/D13)</f>
        <v/>
      </c>
      <c r="J13" s="8">
        <f>ClubDetails!L122</f>
        <v/>
      </c>
      <c r="K13" s="28">
        <f>IF(D13=0,0,J13/D13)</f>
        <v/>
      </c>
      <c r="L13" s="8">
        <f>ClubDetails!M122</f>
        <v/>
      </c>
      <c r="M13" s="8">
        <f>ClubDetails!J122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28677946</v>
      </c>
      <c r="B14" s="12" t="inlineStr">
        <is>
          <t>02</t>
        </is>
      </c>
      <c r="C14" s="27" t="inlineStr">
        <is>
          <t>Belagavi Toastmasters Centenary Club</t>
        </is>
      </c>
      <c r="D14" s="8">
        <f>ClubDetails!G123</f>
        <v/>
      </c>
      <c r="E14" s="8">
        <f>ClubDetails!H123</f>
        <v/>
      </c>
      <c r="F14" s="8">
        <f>ClubDetails!I123</f>
        <v/>
      </c>
      <c r="G14" s="12">
        <f>IF(F14&lt;5,"-",IF(E14&gt;19,"Yes",IF(E14&gt;D14+2,"Yes","-")))</f>
        <v/>
      </c>
      <c r="H14" s="8">
        <f>ClubDetails!K123</f>
        <v/>
      </c>
      <c r="I14" s="28">
        <f>IF(D14=0,0,H14/D14)</f>
        <v/>
      </c>
      <c r="J14" s="8">
        <f>ClubDetails!L123</f>
        <v/>
      </c>
      <c r="K14" s="28">
        <f>IF(D14=0,0,J14/D14)</f>
        <v/>
      </c>
      <c r="L14" s="8">
        <f>ClubDetails!M123</f>
        <v/>
      </c>
      <c r="M14" s="8">
        <f>ClubDetails!J123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1214543</v>
      </c>
      <c r="B15" s="12" t="inlineStr">
        <is>
          <t>03</t>
        </is>
      </c>
      <c r="C15" s="27" t="inlineStr">
        <is>
          <t>GOA Toastmasters Club</t>
        </is>
      </c>
      <c r="D15" s="8">
        <f>ClubDetails!G124</f>
        <v/>
      </c>
      <c r="E15" s="8">
        <f>ClubDetails!H124</f>
        <v/>
      </c>
      <c r="F15" s="8">
        <f>ClubDetails!I124</f>
        <v/>
      </c>
      <c r="G15" s="12">
        <f>IF(F15&lt;5,"-",IF(E15&gt;19,"Yes",IF(E15&gt;D15+2,"Yes","-")))</f>
        <v/>
      </c>
      <c r="H15" s="8">
        <f>ClubDetails!K124</f>
        <v/>
      </c>
      <c r="I15" s="28">
        <f>IF(D15=0,0,H15/D15)</f>
        <v/>
      </c>
      <c r="J15" s="8">
        <f>ClubDetails!L124</f>
        <v/>
      </c>
      <c r="K15" s="28">
        <f>IF(D15=0,0,J15/D15)</f>
        <v/>
      </c>
      <c r="L15" s="8">
        <f>ClubDetails!M124</f>
        <v/>
      </c>
      <c r="M15" s="8">
        <f>ClubDetails!J124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2575847</v>
      </c>
      <c r="B16" s="12" t="inlineStr">
        <is>
          <t>03</t>
        </is>
      </c>
      <c r="C16" s="27" t="inlineStr">
        <is>
          <t>Toastmasters International Margao</t>
        </is>
      </c>
      <c r="D16" s="8">
        <f>ClubDetails!G125</f>
        <v/>
      </c>
      <c r="E16" s="8">
        <f>ClubDetails!H125</f>
        <v/>
      </c>
      <c r="F16" s="8">
        <f>ClubDetails!I125</f>
        <v/>
      </c>
      <c r="G16" s="12">
        <f>IF(F16&lt;5,"-",IF(E16&gt;19,"Yes",IF(E16&gt;D16+2,"Yes","-")))</f>
        <v/>
      </c>
      <c r="H16" s="8">
        <f>ClubDetails!K125</f>
        <v/>
      </c>
      <c r="I16" s="28">
        <f>IF(D16=0,0,H16/D16)</f>
        <v/>
      </c>
      <c r="J16" s="8">
        <f>ClubDetails!L125</f>
        <v/>
      </c>
      <c r="K16" s="28">
        <f>IF(D16=0,0,J16/D16)</f>
        <v/>
      </c>
      <c r="L16" s="8">
        <f>ClubDetails!M125</f>
        <v/>
      </c>
      <c r="M16" s="8">
        <f>ClubDetails!J125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3214306</v>
      </c>
      <c r="B17" s="12" t="inlineStr">
        <is>
          <t>03</t>
        </is>
      </c>
      <c r="C17" s="27" t="inlineStr">
        <is>
          <t>International Centre GOA (ICG) Toastmasters Club</t>
        </is>
      </c>
      <c r="D17" s="8">
        <f>ClubDetails!G126</f>
        <v/>
      </c>
      <c r="E17" s="8">
        <f>ClubDetails!H126</f>
        <v/>
      </c>
      <c r="F17" s="8">
        <f>ClubDetails!I126</f>
        <v/>
      </c>
      <c r="G17" s="12">
        <f>IF(F17&lt;5,"-",IF(E17&gt;19,"Yes",IF(E17&gt;D17+2,"Yes","-")))</f>
        <v/>
      </c>
      <c r="H17" s="8">
        <f>ClubDetails!K126</f>
        <v/>
      </c>
      <c r="I17" s="28">
        <f>IF(D17=0,0,H17/D17)</f>
        <v/>
      </c>
      <c r="J17" s="8">
        <f>ClubDetails!L126</f>
        <v/>
      </c>
      <c r="K17" s="28">
        <f>IF(D17=0,0,J17/D17)</f>
        <v/>
      </c>
      <c r="L17" s="8">
        <f>ClubDetails!M126</f>
        <v/>
      </c>
      <c r="M17" s="8">
        <f>ClubDetails!J126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7946347</v>
      </c>
      <c r="B18" s="12" t="inlineStr">
        <is>
          <t>03</t>
        </is>
      </c>
      <c r="C18" s="27" t="inlineStr">
        <is>
          <t>TheanTamil Toastmasters Club</t>
        </is>
      </c>
      <c r="D18" s="8">
        <f>ClubDetails!G127</f>
        <v/>
      </c>
      <c r="E18" s="8">
        <f>ClubDetails!H127</f>
        <v/>
      </c>
      <c r="F18" s="8">
        <f>ClubDetails!I127</f>
        <v/>
      </c>
      <c r="G18" s="12">
        <f>IF(F18&lt;5,"-",IF(E18&gt;19,"Yes",IF(E18&gt;D18+2,"Yes","-")))</f>
        <v/>
      </c>
      <c r="H18" s="8">
        <f>ClubDetails!K127</f>
        <v/>
      </c>
      <c r="I18" s="28">
        <f>IF(D18=0,0,H18/D18)</f>
        <v/>
      </c>
      <c r="J18" s="8">
        <f>ClubDetails!L127</f>
        <v/>
      </c>
      <c r="K18" s="28">
        <f>IF(D18=0,0,J18/D18)</f>
        <v/>
      </c>
      <c r="L18" s="8">
        <f>ClubDetails!M127</f>
        <v/>
      </c>
      <c r="M18" s="8">
        <f>ClubDetails!J127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28676711</v>
      </c>
      <c r="B19" s="12" t="inlineStr">
        <is>
          <t>03</t>
        </is>
      </c>
      <c r="C19" s="27" t="inlineStr">
        <is>
          <t>Melange Toastmasters Club</t>
        </is>
      </c>
      <c r="D19" s="8">
        <f>ClubDetails!G128</f>
        <v/>
      </c>
      <c r="E19" s="8">
        <f>ClubDetails!H128</f>
        <v/>
      </c>
      <c r="F19" s="8">
        <f>ClubDetails!I128</f>
        <v/>
      </c>
      <c r="G19" s="12">
        <f>IF(F19&lt;5,"-",IF(E19&gt;19,"Yes",IF(E19&gt;D19+2,"Yes","-")))</f>
        <v/>
      </c>
      <c r="H19" s="8">
        <f>ClubDetails!K128</f>
        <v/>
      </c>
      <c r="I19" s="28">
        <f>IF(D19=0,0,H19/D19)</f>
        <v/>
      </c>
      <c r="J19" s="8">
        <f>ClubDetails!L128</f>
        <v/>
      </c>
      <c r="K19" s="28">
        <f>IF(D19=0,0,J19/D19)</f>
        <v/>
      </c>
      <c r="L19" s="8">
        <f>ClubDetails!M128</f>
        <v/>
      </c>
      <c r="M19" s="8">
        <f>ClubDetails!J128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4361333</v>
      </c>
      <c r="B20" s="12" t="inlineStr">
        <is>
          <t>04</t>
        </is>
      </c>
      <c r="C20" s="27" t="inlineStr">
        <is>
          <t>Mapusa Toastmasters</t>
        </is>
      </c>
      <c r="D20" s="8">
        <f>ClubDetails!G129</f>
        <v/>
      </c>
      <c r="E20" s="8">
        <f>ClubDetails!H129</f>
        <v/>
      </c>
      <c r="F20" s="8">
        <f>ClubDetails!I129</f>
        <v/>
      </c>
      <c r="G20" s="12">
        <f>IF(F20&lt;5,"-",IF(E20&gt;19,"Yes",IF(E20&gt;D20+2,"Yes","-")))</f>
        <v/>
      </c>
      <c r="H20" s="8">
        <f>ClubDetails!K129</f>
        <v/>
      </c>
      <c r="I20" s="28">
        <f>IF(D20=0,0,H20/D20)</f>
        <v/>
      </c>
      <c r="J20" s="8">
        <f>ClubDetails!L129</f>
        <v/>
      </c>
      <c r="K20" s="28">
        <f>IF(D20=0,0,J20/D20)</f>
        <v/>
      </c>
      <c r="L20" s="8">
        <f>ClubDetails!M129</f>
        <v/>
      </c>
      <c r="M20" s="8">
        <f>ClubDetails!J129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6941455</v>
      </c>
      <c r="B21" s="12" t="inlineStr">
        <is>
          <t>04</t>
        </is>
      </c>
      <c r="C21" s="27" t="inlineStr">
        <is>
          <t>Tangentia Toastmasters</t>
        </is>
      </c>
      <c r="D21" s="8">
        <f>ClubDetails!G130</f>
        <v/>
      </c>
      <c r="E21" s="8">
        <f>ClubDetails!H130</f>
        <v/>
      </c>
      <c r="F21" s="8">
        <f>ClubDetails!I130</f>
        <v/>
      </c>
      <c r="G21" s="12">
        <f>IF(F21&lt;5,"-",IF(E21&gt;19,"Yes",IF(E21&gt;D21+2,"Yes","-")))</f>
        <v/>
      </c>
      <c r="H21" s="8">
        <f>ClubDetails!K130</f>
        <v/>
      </c>
      <c r="I21" s="28">
        <f>IF(D21=0,0,H21/D21)</f>
        <v/>
      </c>
      <c r="J21" s="8">
        <f>ClubDetails!L130</f>
        <v/>
      </c>
      <c r="K21" s="28">
        <f>IF(D21=0,0,J21/D21)</f>
        <v/>
      </c>
      <c r="L21" s="8">
        <f>ClubDetails!M130</f>
        <v/>
      </c>
      <c r="M21" s="8">
        <f>ClubDetails!J130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7856600</v>
      </c>
      <c r="B22" s="12" t="inlineStr">
        <is>
          <t>04</t>
        </is>
      </c>
      <c r="C22" s="27" t="inlineStr">
        <is>
          <t>Online Toastmasters Tribe</t>
        </is>
      </c>
      <c r="D22" s="8">
        <f>ClubDetails!G131</f>
        <v/>
      </c>
      <c r="E22" s="8">
        <f>ClubDetails!H131</f>
        <v/>
      </c>
      <c r="F22" s="8">
        <f>ClubDetails!I131</f>
        <v/>
      </c>
      <c r="G22" s="12">
        <f>IF(F22&lt;5,"-",IF(E22&gt;19,"Yes",IF(E22&gt;D22+2,"Yes","-")))</f>
        <v/>
      </c>
      <c r="H22" s="8">
        <f>ClubDetails!K131</f>
        <v/>
      </c>
      <c r="I22" s="28">
        <f>IF(D22=0,0,H22/D22)</f>
        <v/>
      </c>
      <c r="J22" s="8">
        <f>ClubDetails!L131</f>
        <v/>
      </c>
      <c r="K22" s="28">
        <f>IF(D22=0,0,J22/D22)</f>
        <v/>
      </c>
      <c r="L22" s="8">
        <f>ClubDetails!M131</f>
        <v/>
      </c>
      <c r="M22" s="8">
        <f>ClubDetails!J131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12" t="n">
        <v>28678487</v>
      </c>
      <c r="B23" s="12" t="inlineStr">
        <is>
          <t>04</t>
        </is>
      </c>
      <c r="C23" s="27" t="inlineStr">
        <is>
          <t>Calangute Toastmasters Club</t>
        </is>
      </c>
      <c r="D23" s="8">
        <f>ClubDetails!G132</f>
        <v/>
      </c>
      <c r="E23" s="8">
        <f>ClubDetails!H132</f>
        <v/>
      </c>
      <c r="F23" s="8">
        <f>ClubDetails!I132</f>
        <v/>
      </c>
      <c r="G23" s="12">
        <f>IF(F23&lt;5,"-",IF(E23&gt;19,"Yes",IF(E23&gt;D23+2,"Yes","-")))</f>
        <v/>
      </c>
      <c r="H23" s="8">
        <f>ClubDetails!K132</f>
        <v/>
      </c>
      <c r="I23" s="28">
        <f>IF(D23=0,0,H23/D23)</f>
        <v/>
      </c>
      <c r="J23" s="8">
        <f>ClubDetails!L132</f>
        <v/>
      </c>
      <c r="K23" s="28">
        <f>IF(D23=0,0,J23/D23)</f>
        <v/>
      </c>
      <c r="L23" s="8">
        <f>ClubDetails!M132</f>
        <v/>
      </c>
      <c r="M23" s="8">
        <f>ClubDetails!J132</f>
        <v/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12">
        <f>IF(SUM(O23:P23)&gt;=5,"Yes","No")</f>
        <v/>
      </c>
      <c r="AA23" s="8">
        <f>IF(SUM(O23:P23)&gt;=5,0,5-SUM(O23:P23))</f>
        <v/>
      </c>
      <c r="AB23" s="12">
        <f>IF(SUM(U23:V23)&gt;=5,"Yes","No")</f>
        <v/>
      </c>
      <c r="AC23" s="8">
        <f>IF(SUM(U23:V23)&gt;=5,0,5-SUM(U23:V23))</f>
        <v/>
      </c>
      <c r="AD23" s="12">
        <f>IF(SUM(X23:Y23)&gt;=5,"Yes","No")</f>
        <v/>
      </c>
      <c r="AE23" s="8">
        <f>IF(SUM(X23:Y23)&gt;=5,0,5-SUM(X23:Y23))</f>
        <v/>
      </c>
    </row>
    <row r="24">
      <c r="A24" s="24" t="inlineStr">
        <is>
          <t>Total / Average</t>
        </is>
      </c>
      <c r="B24" s="26" t="inlineStr"/>
      <c r="C24" s="26" t="inlineStr"/>
      <c r="D24" s="7">
        <f>SUM(D4:D23)</f>
        <v/>
      </c>
      <c r="E24" s="7">
        <f>SUM(E4:E23)</f>
        <v/>
      </c>
      <c r="F24" s="29">
        <f>AVERAGE(F4:F23)</f>
        <v/>
      </c>
      <c r="G24" s="30">
        <f>COUNTIF(G4:G23,"Yes")</f>
        <v/>
      </c>
      <c r="H24" s="7">
        <f>SUM(H4:H23)</f>
        <v/>
      </c>
      <c r="I24" s="25">
        <f>IF(D24=0,0,H24/D24)</f>
        <v/>
      </c>
      <c r="J24" s="7">
        <f>SUM(J4:J23)</f>
        <v/>
      </c>
      <c r="K24" s="25">
        <f>IF(D24=0,0,J24/D24)</f>
        <v/>
      </c>
      <c r="L24" s="7">
        <f>SUM(L4:L23)</f>
        <v/>
      </c>
      <c r="M24" s="7">
        <f>SUM(M4:M23)</f>
        <v/>
      </c>
      <c r="N24" s="7">
        <f>SUM(N4:N23)</f>
        <v/>
      </c>
      <c r="O24" s="7">
        <f>SUM(O4:O23)</f>
        <v/>
      </c>
      <c r="P24" s="7">
        <f>SUM(P4:P23)</f>
        <v/>
      </c>
      <c r="Q24" s="7">
        <f>SUM(Q4:Q23)</f>
        <v/>
      </c>
      <c r="R24" s="7">
        <f>SUM(R4:R23)</f>
        <v/>
      </c>
      <c r="S24" s="7">
        <f>SUM(S4:S23)</f>
        <v/>
      </c>
      <c r="T24" s="7">
        <f>SUM(T4:T23)</f>
        <v/>
      </c>
      <c r="U24" s="7">
        <f>SUM(U4:U23)</f>
        <v/>
      </c>
      <c r="V24" s="7">
        <f>SUM(V4:V23)</f>
        <v/>
      </c>
      <c r="W24" s="7">
        <f>SUM(W4:W23)</f>
        <v/>
      </c>
      <c r="X24" s="7">
        <f>SUM(X4:X23)</f>
        <v/>
      </c>
      <c r="Y24" s="7">
        <f>SUM(Y4:Y23)</f>
        <v/>
      </c>
      <c r="Z24" s="30">
        <f>COUNTIF(Z4:Z23,"Yes")</f>
        <v/>
      </c>
      <c r="AA24" s="7">
        <f>SUM(AA4:AA23)</f>
        <v/>
      </c>
      <c r="AB24" s="30">
        <f>COUNTIF(AB4:AB23,"Yes")</f>
        <v/>
      </c>
      <c r="AC24" s="7">
        <f>SUM(AC4:AC23)</f>
        <v/>
      </c>
      <c r="AD24" s="30">
        <f>COUNTIF(AD4:AD23,"Yes")</f>
        <v/>
      </c>
      <c r="AE24" s="7">
        <f>SUM(AE4:AE23)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17" customWidth="1" min="10" max="10"/>
    <col width="19" customWidth="1" min="11" max="11"/>
    <col width="17" customWidth="1" min="12" max="12"/>
    <col width="2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28" customWidth="1" min="26" max="26"/>
    <col width="21" customWidth="1" min="27" max="27"/>
    <col width="22" customWidth="1" min="28" max="28"/>
    <col width="15" customWidth="1" min="29" max="29"/>
    <col width="29" customWidth="1" min="30" max="30"/>
    <col width="22" customWidth="1" min="31" max="31"/>
  </cols>
  <sheetData>
    <row r="1">
      <c r="A1" s="21" t="inlineStr">
        <is>
          <t>Division G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March Renewals</t>
        </is>
      </c>
      <c r="K3" s="14" t="inlineStr">
        <is>
          <t>March Renewals %</t>
        </is>
      </c>
      <c r="L3" s="14" t="inlineStr">
        <is>
          <t>Total Payments</t>
        </is>
      </c>
      <c r="M3" s="14" t="inlineStr">
        <is>
          <t>Total New Members</t>
        </is>
      </c>
      <c r="N3" s="14" t="inlineStr">
        <is>
          <t>July</t>
        </is>
      </c>
      <c r="O3" s="14" t="inlineStr">
        <is>
          <t>August</t>
        </is>
      </c>
      <c r="P3" s="14" t="inlineStr">
        <is>
          <t>September</t>
        </is>
      </c>
      <c r="Q3" s="14" t="inlineStr">
        <is>
          <t>October</t>
        </is>
      </c>
      <c r="R3" s="14" t="inlineStr">
        <is>
          <t>November</t>
        </is>
      </c>
      <c r="S3" s="14" t="inlineStr">
        <is>
          <t>December</t>
        </is>
      </c>
      <c r="T3" s="14" t="inlineStr">
        <is>
          <t>January</t>
        </is>
      </c>
      <c r="U3" s="14" t="inlineStr">
        <is>
          <t>February</t>
        </is>
      </c>
      <c r="V3" s="14" t="inlineStr">
        <is>
          <t>March</t>
        </is>
      </c>
      <c r="W3" s="14" t="inlineStr">
        <is>
          <t>April</t>
        </is>
      </c>
      <c r="X3" s="14" t="inlineStr">
        <is>
          <t>May</t>
        </is>
      </c>
      <c r="Y3" s="14" t="inlineStr">
        <is>
          <t>June</t>
        </is>
      </c>
      <c r="Z3" s="14" t="inlineStr">
        <is>
          <t>Smedley Award Eligibility</t>
        </is>
      </c>
      <c r="AA3" s="14" t="inlineStr">
        <is>
          <t>Smedley Award Goal</t>
        </is>
      </c>
      <c r="AB3" s="14" t="inlineStr">
        <is>
          <t>Talk Up Eligibility</t>
        </is>
      </c>
      <c r="AC3" s="14" t="inlineStr">
        <is>
          <t>Talk Up Goal</t>
        </is>
      </c>
      <c r="AD3" s="14" t="inlineStr">
        <is>
          <t>Beat the Clock Eligibility</t>
        </is>
      </c>
      <c r="AE3" s="14" t="inlineStr">
        <is>
          <t>Beat the Clock Goal</t>
        </is>
      </c>
    </row>
    <row r="4">
      <c r="A4" s="12" t="n">
        <v>632425</v>
      </c>
      <c r="B4" s="12" t="inlineStr">
        <is>
          <t>01</t>
        </is>
      </c>
      <c r="C4" s="27" t="inlineStr">
        <is>
          <t>CMS Speakers Forum Toastmasters Club</t>
        </is>
      </c>
      <c r="D4" s="8">
        <f>ClubDetails!G133</f>
        <v/>
      </c>
      <c r="E4" s="8">
        <f>ClubDetails!H133</f>
        <v/>
      </c>
      <c r="F4" s="8">
        <f>ClubDetails!I133</f>
        <v/>
      </c>
      <c r="G4" s="12">
        <f>IF(F4&lt;5,"-",IF(E4&gt;19,"Yes",IF(E4&gt;D4+2,"Yes","-")))</f>
        <v/>
      </c>
      <c r="H4" s="8">
        <f>ClubDetails!K133</f>
        <v/>
      </c>
      <c r="I4" s="28">
        <f>IF(D4=0,0,H4/D4)</f>
        <v/>
      </c>
      <c r="J4" s="8">
        <f>ClubDetails!L133</f>
        <v/>
      </c>
      <c r="K4" s="28">
        <f>IF(D4=0,0,J4/D4)</f>
        <v/>
      </c>
      <c r="L4" s="8">
        <f>ClubDetails!M133</f>
        <v/>
      </c>
      <c r="M4" s="8">
        <f>ClubDetails!J133</f>
        <v/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12">
        <f>IF(SUM(O4:P4)&gt;=5,"Yes","No")</f>
        <v/>
      </c>
      <c r="AA4" s="8">
        <f>IF(SUM(O4:P4)&gt;=5,0,5-SUM(O4:P4))</f>
        <v/>
      </c>
      <c r="AB4" s="12">
        <f>IF(SUM(U4:V4)&gt;=5,"Yes","No")</f>
        <v/>
      </c>
      <c r="AC4" s="8">
        <f>IF(SUM(U4:V4)&gt;=5,0,5-SUM(U4:V4))</f>
        <v/>
      </c>
      <c r="AD4" s="12">
        <f>IF(SUM(X4:Y4)&gt;=5,"Yes","No")</f>
        <v/>
      </c>
      <c r="AE4" s="8">
        <f>IF(SUM(X4:Y4)&gt;=5,0,5-SUM(X4:Y4))</f>
        <v/>
      </c>
    </row>
    <row r="5">
      <c r="A5" s="12" t="n">
        <v>725960</v>
      </c>
      <c r="B5" s="12" t="inlineStr">
        <is>
          <t>01</t>
        </is>
      </c>
      <c r="C5" s="27" t="inlineStr">
        <is>
          <t>Jain Toastmasters Club</t>
        </is>
      </c>
      <c r="D5" s="8">
        <f>ClubDetails!G134</f>
        <v/>
      </c>
      <c r="E5" s="8">
        <f>ClubDetails!H134</f>
        <v/>
      </c>
      <c r="F5" s="8">
        <f>ClubDetails!I134</f>
        <v/>
      </c>
      <c r="G5" s="12">
        <f>IF(F5&lt;5,"-",IF(E5&gt;19,"Yes",IF(E5&gt;D5+2,"Yes","-")))</f>
        <v/>
      </c>
      <c r="H5" s="8">
        <f>ClubDetails!K134</f>
        <v/>
      </c>
      <c r="I5" s="28">
        <f>IF(D5=0,0,H5/D5)</f>
        <v/>
      </c>
      <c r="J5" s="8">
        <f>ClubDetails!L134</f>
        <v/>
      </c>
      <c r="K5" s="28">
        <f>IF(D5=0,0,J5/D5)</f>
        <v/>
      </c>
      <c r="L5" s="8">
        <f>ClubDetails!M134</f>
        <v/>
      </c>
      <c r="M5" s="8">
        <f>ClubDetails!J134</f>
        <v/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12">
        <f>IF(SUM(O5:P5)&gt;=5,"Yes","No")</f>
        <v/>
      </c>
      <c r="AA5" s="8">
        <f>IF(SUM(O5:P5)&gt;=5,0,5-SUM(O5:P5))</f>
        <v/>
      </c>
      <c r="AB5" s="12">
        <f>IF(SUM(U5:V5)&gt;=5,"Yes","No")</f>
        <v/>
      </c>
      <c r="AC5" s="8">
        <f>IF(SUM(U5:V5)&gt;=5,0,5-SUM(U5:V5))</f>
        <v/>
      </c>
      <c r="AD5" s="12">
        <f>IF(SUM(X5:Y5)&gt;=5,"Yes","No")</f>
        <v/>
      </c>
      <c r="AE5" s="8">
        <f>IF(SUM(X5:Y5)&gt;=5,0,5-SUM(X5:Y5))</f>
        <v/>
      </c>
    </row>
    <row r="6">
      <c r="A6" s="12" t="n">
        <v>726395</v>
      </c>
      <c r="B6" s="12" t="inlineStr">
        <is>
          <t>01</t>
        </is>
      </c>
      <c r="C6" s="27" t="inlineStr">
        <is>
          <t>SBMJC Toastmasters Club</t>
        </is>
      </c>
      <c r="D6" s="8">
        <f>ClubDetails!G135</f>
        <v/>
      </c>
      <c r="E6" s="8">
        <f>ClubDetails!H135</f>
        <v/>
      </c>
      <c r="F6" s="8">
        <f>ClubDetails!I135</f>
        <v/>
      </c>
      <c r="G6" s="12">
        <f>IF(F6&lt;5,"-",IF(E6&gt;19,"Yes",IF(E6&gt;D6+2,"Yes","-")))</f>
        <v/>
      </c>
      <c r="H6" s="8">
        <f>ClubDetails!K135</f>
        <v/>
      </c>
      <c r="I6" s="28">
        <f>IF(D6=0,0,H6/D6)</f>
        <v/>
      </c>
      <c r="J6" s="8">
        <f>ClubDetails!L135</f>
        <v/>
      </c>
      <c r="K6" s="28">
        <f>IF(D6=0,0,J6/D6)</f>
        <v/>
      </c>
      <c r="L6" s="8">
        <f>ClubDetails!M135</f>
        <v/>
      </c>
      <c r="M6" s="8">
        <f>ClubDetails!J135</f>
        <v/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12">
        <f>IF(SUM(O6:P6)&gt;=5,"Yes","No")</f>
        <v/>
      </c>
      <c r="AA6" s="8">
        <f>IF(SUM(O6:P6)&gt;=5,0,5-SUM(O6:P6))</f>
        <v/>
      </c>
      <c r="AB6" s="12">
        <f>IF(SUM(U6:V6)&gt;=5,"Yes","No")</f>
        <v/>
      </c>
      <c r="AC6" s="8">
        <f>IF(SUM(U6:V6)&gt;=5,0,5-SUM(U6:V6))</f>
        <v/>
      </c>
      <c r="AD6" s="12">
        <f>IF(SUM(X6:Y6)&gt;=5,"Yes","No")</f>
        <v/>
      </c>
      <c r="AE6" s="8">
        <f>IF(SUM(X6:Y6)&gt;=5,0,5-SUM(X6:Y6))</f>
        <v/>
      </c>
    </row>
    <row r="7">
      <c r="A7" s="12" t="n">
        <v>726698</v>
      </c>
      <c r="B7" s="12" t="inlineStr">
        <is>
          <t>01</t>
        </is>
      </c>
      <c r="C7" s="27" t="inlineStr">
        <is>
          <t>Mahaveer Toastmasters Club</t>
        </is>
      </c>
      <c r="D7" s="8">
        <f>ClubDetails!G136</f>
        <v/>
      </c>
      <c r="E7" s="8">
        <f>ClubDetails!H136</f>
        <v/>
      </c>
      <c r="F7" s="8">
        <f>ClubDetails!I136</f>
        <v/>
      </c>
      <c r="G7" s="12">
        <f>IF(F7&lt;5,"-",IF(E7&gt;19,"Yes",IF(E7&gt;D7+2,"Yes","-")))</f>
        <v/>
      </c>
      <c r="H7" s="8">
        <f>ClubDetails!K136</f>
        <v/>
      </c>
      <c r="I7" s="28">
        <f>IF(D7=0,0,H7/D7)</f>
        <v/>
      </c>
      <c r="J7" s="8">
        <f>ClubDetails!L136</f>
        <v/>
      </c>
      <c r="K7" s="28">
        <f>IF(D7=0,0,J7/D7)</f>
        <v/>
      </c>
      <c r="L7" s="8">
        <f>ClubDetails!M136</f>
        <v/>
      </c>
      <c r="M7" s="8">
        <f>ClubDetails!J136</f>
        <v/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12">
        <f>IF(SUM(O7:P7)&gt;=5,"Yes","No")</f>
        <v/>
      </c>
      <c r="AA7" s="8">
        <f>IF(SUM(O7:P7)&gt;=5,0,5-SUM(O7:P7))</f>
        <v/>
      </c>
      <c r="AB7" s="12">
        <f>IF(SUM(U7:V7)&gt;=5,"Yes","No")</f>
        <v/>
      </c>
      <c r="AC7" s="8">
        <f>IF(SUM(U7:V7)&gt;=5,0,5-SUM(U7:V7))</f>
        <v/>
      </c>
      <c r="AD7" s="12">
        <f>IF(SUM(X7:Y7)&gt;=5,"Yes","No")</f>
        <v/>
      </c>
      <c r="AE7" s="8">
        <f>IF(SUM(X7:Y7)&gt;=5,0,5-SUM(X7:Y7))</f>
        <v/>
      </c>
    </row>
    <row r="8">
      <c r="A8" s="12" t="n">
        <v>2405453</v>
      </c>
      <c r="B8" s="12" t="inlineStr">
        <is>
          <t>02</t>
        </is>
      </c>
      <c r="C8" s="27" t="inlineStr">
        <is>
          <t>vTalk Toastmasters Club</t>
        </is>
      </c>
      <c r="D8" s="8">
        <f>ClubDetails!G137</f>
        <v/>
      </c>
      <c r="E8" s="8">
        <f>ClubDetails!H137</f>
        <v/>
      </c>
      <c r="F8" s="8">
        <f>ClubDetails!I137</f>
        <v/>
      </c>
      <c r="G8" s="12">
        <f>IF(F8&lt;5,"-",IF(E8&gt;19,"Yes",IF(E8&gt;D8+2,"Yes","-")))</f>
        <v/>
      </c>
      <c r="H8" s="8">
        <f>ClubDetails!K137</f>
        <v/>
      </c>
      <c r="I8" s="28">
        <f>IF(D8=0,0,H8/D8)</f>
        <v/>
      </c>
      <c r="J8" s="8">
        <f>ClubDetails!L137</f>
        <v/>
      </c>
      <c r="K8" s="28">
        <f>IF(D8=0,0,J8/D8)</f>
        <v/>
      </c>
      <c r="L8" s="8">
        <f>ClubDetails!M137</f>
        <v/>
      </c>
      <c r="M8" s="8">
        <f>ClubDetails!J137</f>
        <v/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12">
        <f>IF(SUM(O8:P8)&gt;=5,"Yes","No")</f>
        <v/>
      </c>
      <c r="AA8" s="8">
        <f>IF(SUM(O8:P8)&gt;=5,0,5-SUM(O8:P8))</f>
        <v/>
      </c>
      <c r="AB8" s="12">
        <f>IF(SUM(U8:V8)&gt;=5,"Yes","No")</f>
        <v/>
      </c>
      <c r="AC8" s="8">
        <f>IF(SUM(U8:V8)&gt;=5,0,5-SUM(U8:V8))</f>
        <v/>
      </c>
      <c r="AD8" s="12">
        <f>IF(SUM(X8:Y8)&gt;=5,"Yes","No")</f>
        <v/>
      </c>
      <c r="AE8" s="8">
        <f>IF(SUM(X8:Y8)&gt;=5,0,5-SUM(X8:Y8))</f>
        <v/>
      </c>
    </row>
    <row r="9">
      <c r="A9" s="12" t="n">
        <v>6636162</v>
      </c>
      <c r="B9" s="12" t="inlineStr">
        <is>
          <t>02</t>
        </is>
      </c>
      <c r="C9" s="27" t="inlineStr">
        <is>
          <t>BTM Toastmasters Club</t>
        </is>
      </c>
      <c r="D9" s="8">
        <f>ClubDetails!G138</f>
        <v/>
      </c>
      <c r="E9" s="8">
        <f>ClubDetails!H138</f>
        <v/>
      </c>
      <c r="F9" s="8">
        <f>ClubDetails!I138</f>
        <v/>
      </c>
      <c r="G9" s="12">
        <f>IF(F9&lt;5,"-",IF(E9&gt;19,"Yes",IF(E9&gt;D9+2,"Yes","-")))</f>
        <v/>
      </c>
      <c r="H9" s="8">
        <f>ClubDetails!K138</f>
        <v/>
      </c>
      <c r="I9" s="28">
        <f>IF(D9=0,0,H9/D9)</f>
        <v/>
      </c>
      <c r="J9" s="8">
        <f>ClubDetails!L138</f>
        <v/>
      </c>
      <c r="K9" s="28">
        <f>IF(D9=0,0,J9/D9)</f>
        <v/>
      </c>
      <c r="L9" s="8">
        <f>ClubDetails!M138</f>
        <v/>
      </c>
      <c r="M9" s="8">
        <f>ClubDetails!J138</f>
        <v/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12">
        <f>IF(SUM(O9:P9)&gt;=5,"Yes","No")</f>
        <v/>
      </c>
      <c r="AA9" s="8">
        <f>IF(SUM(O9:P9)&gt;=5,0,5-SUM(O9:P9))</f>
        <v/>
      </c>
      <c r="AB9" s="12">
        <f>IF(SUM(U9:V9)&gt;=5,"Yes","No")</f>
        <v/>
      </c>
      <c r="AC9" s="8">
        <f>IF(SUM(U9:V9)&gt;=5,0,5-SUM(U9:V9))</f>
        <v/>
      </c>
      <c r="AD9" s="12">
        <f>IF(SUM(X9:Y9)&gt;=5,"Yes","No")</f>
        <v/>
      </c>
      <c r="AE9" s="8">
        <f>IF(SUM(X9:Y9)&gt;=5,0,5-SUM(X9:Y9))</f>
        <v/>
      </c>
    </row>
    <row r="10">
      <c r="A10" s="12" t="n">
        <v>6831114</v>
      </c>
      <c r="B10" s="12" t="inlineStr">
        <is>
          <t>02</t>
        </is>
      </c>
      <c r="C10" s="27" t="inlineStr">
        <is>
          <t>Leaders Speak</t>
        </is>
      </c>
      <c r="D10" s="8">
        <f>ClubDetails!G139</f>
        <v/>
      </c>
      <c r="E10" s="8">
        <f>ClubDetails!H139</f>
        <v/>
      </c>
      <c r="F10" s="8">
        <f>ClubDetails!I139</f>
        <v/>
      </c>
      <c r="G10" s="12">
        <f>IF(F10&lt;5,"-",IF(E10&gt;19,"Yes",IF(E10&gt;D10+2,"Yes","-")))</f>
        <v/>
      </c>
      <c r="H10" s="8">
        <f>ClubDetails!K139</f>
        <v/>
      </c>
      <c r="I10" s="28">
        <f>IF(D10=0,0,H10/D10)</f>
        <v/>
      </c>
      <c r="J10" s="8">
        <f>ClubDetails!L139</f>
        <v/>
      </c>
      <c r="K10" s="28">
        <f>IF(D10=0,0,J10/D10)</f>
        <v/>
      </c>
      <c r="L10" s="8">
        <f>ClubDetails!M139</f>
        <v/>
      </c>
      <c r="M10" s="8">
        <f>ClubDetails!J139</f>
        <v/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12">
        <f>IF(SUM(O10:P10)&gt;=5,"Yes","No")</f>
        <v/>
      </c>
      <c r="AA10" s="8">
        <f>IF(SUM(O10:P10)&gt;=5,0,5-SUM(O10:P10))</f>
        <v/>
      </c>
      <c r="AB10" s="12">
        <f>IF(SUM(U10:V10)&gt;=5,"Yes","No")</f>
        <v/>
      </c>
      <c r="AC10" s="8">
        <f>IF(SUM(U10:V10)&gt;=5,0,5-SUM(U10:V10))</f>
        <v/>
      </c>
      <c r="AD10" s="12">
        <f>IF(SUM(X10:Y10)&gt;=5,"Yes","No")</f>
        <v/>
      </c>
      <c r="AE10" s="8">
        <f>IF(SUM(X10:Y10)&gt;=5,0,5-SUM(X10:Y10))</f>
        <v/>
      </c>
    </row>
    <row r="11">
      <c r="A11" s="12" t="n">
        <v>28678910</v>
      </c>
      <c r="B11" s="12" t="inlineStr">
        <is>
          <t>02</t>
        </is>
      </c>
      <c r="C11" s="27" t="inlineStr">
        <is>
          <t>Furlenco Toastmasters Club</t>
        </is>
      </c>
      <c r="D11" s="8">
        <f>ClubDetails!G140</f>
        <v/>
      </c>
      <c r="E11" s="8">
        <f>ClubDetails!H140</f>
        <v/>
      </c>
      <c r="F11" s="8">
        <f>ClubDetails!I140</f>
        <v/>
      </c>
      <c r="G11" s="12">
        <f>IF(F11&lt;5,"-",IF(E11&gt;19,"Yes",IF(E11&gt;D11+2,"Yes","-")))</f>
        <v/>
      </c>
      <c r="H11" s="8">
        <f>ClubDetails!K140</f>
        <v/>
      </c>
      <c r="I11" s="28">
        <f>IF(D11=0,0,H11/D11)</f>
        <v/>
      </c>
      <c r="J11" s="8">
        <f>ClubDetails!L140</f>
        <v/>
      </c>
      <c r="K11" s="28">
        <f>IF(D11=0,0,J11/D11)</f>
        <v/>
      </c>
      <c r="L11" s="8">
        <f>ClubDetails!M140</f>
        <v/>
      </c>
      <c r="M11" s="8">
        <f>ClubDetails!J140</f>
        <v/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12">
        <f>IF(SUM(O11:P11)&gt;=5,"Yes","No")</f>
        <v/>
      </c>
      <c r="AA11" s="8">
        <f>IF(SUM(O11:P11)&gt;=5,0,5-SUM(O11:P11))</f>
        <v/>
      </c>
      <c r="AB11" s="12">
        <f>IF(SUM(U11:V11)&gt;=5,"Yes","No")</f>
        <v/>
      </c>
      <c r="AC11" s="8">
        <f>IF(SUM(U11:V11)&gt;=5,0,5-SUM(U11:V11))</f>
        <v/>
      </c>
      <c r="AD11" s="12">
        <f>IF(SUM(X11:Y11)&gt;=5,"Yes","No")</f>
        <v/>
      </c>
      <c r="AE11" s="8">
        <f>IF(SUM(X11:Y11)&gt;=5,0,5-SUM(X11:Y11))</f>
        <v/>
      </c>
    </row>
    <row r="12">
      <c r="A12" s="12" t="n">
        <v>28678951</v>
      </c>
      <c r="B12" s="12" t="inlineStr">
        <is>
          <t>02</t>
        </is>
      </c>
      <c r="C12" s="27" t="inlineStr">
        <is>
          <t>Welldoc Toastmasters</t>
        </is>
      </c>
      <c r="D12" s="8">
        <f>ClubDetails!G141</f>
        <v/>
      </c>
      <c r="E12" s="8">
        <f>ClubDetails!H141</f>
        <v/>
      </c>
      <c r="F12" s="8">
        <f>ClubDetails!I141</f>
        <v/>
      </c>
      <c r="G12" s="12">
        <f>IF(F12&lt;5,"-",IF(E12&gt;19,"Yes",IF(E12&gt;D12+2,"Yes","-")))</f>
        <v/>
      </c>
      <c r="H12" s="8">
        <f>ClubDetails!K141</f>
        <v/>
      </c>
      <c r="I12" s="28">
        <f>IF(D12=0,0,H12/D12)</f>
        <v/>
      </c>
      <c r="J12" s="8">
        <f>ClubDetails!L141</f>
        <v/>
      </c>
      <c r="K12" s="28">
        <f>IF(D12=0,0,J12/D12)</f>
        <v/>
      </c>
      <c r="L12" s="8">
        <f>ClubDetails!M141</f>
        <v/>
      </c>
      <c r="M12" s="8">
        <f>ClubDetails!J141</f>
        <v/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12">
        <f>IF(SUM(O12:P12)&gt;=5,"Yes","No")</f>
        <v/>
      </c>
      <c r="AA12" s="8">
        <f>IF(SUM(O12:P12)&gt;=5,0,5-SUM(O12:P12))</f>
        <v/>
      </c>
      <c r="AB12" s="12">
        <f>IF(SUM(U12:V12)&gt;=5,"Yes","No")</f>
        <v/>
      </c>
      <c r="AC12" s="8">
        <f>IF(SUM(U12:V12)&gt;=5,0,5-SUM(U12:V12))</f>
        <v/>
      </c>
      <c r="AD12" s="12">
        <f>IF(SUM(X12:Y12)&gt;=5,"Yes","No")</f>
        <v/>
      </c>
      <c r="AE12" s="8">
        <f>IF(SUM(X12:Y12)&gt;=5,0,5-SUM(X12:Y12))</f>
        <v/>
      </c>
    </row>
    <row r="13">
      <c r="A13" s="12" t="n">
        <v>7711039</v>
      </c>
      <c r="B13" s="12" t="inlineStr">
        <is>
          <t>03</t>
        </is>
      </c>
      <c r="C13" s="27" t="inlineStr">
        <is>
          <t>Words Worth Toastmasters</t>
        </is>
      </c>
      <c r="D13" s="8">
        <f>ClubDetails!G142</f>
        <v/>
      </c>
      <c r="E13" s="8">
        <f>ClubDetails!H142</f>
        <v/>
      </c>
      <c r="F13" s="8">
        <f>ClubDetails!I142</f>
        <v/>
      </c>
      <c r="G13" s="12">
        <f>IF(F13&lt;5,"-",IF(E13&gt;19,"Yes",IF(E13&gt;D13+2,"Yes","-")))</f>
        <v/>
      </c>
      <c r="H13" s="8">
        <f>ClubDetails!K142</f>
        <v/>
      </c>
      <c r="I13" s="28">
        <f>IF(D13=0,0,H13/D13)</f>
        <v/>
      </c>
      <c r="J13" s="8">
        <f>ClubDetails!L142</f>
        <v/>
      </c>
      <c r="K13" s="28">
        <f>IF(D13=0,0,J13/D13)</f>
        <v/>
      </c>
      <c r="L13" s="8">
        <f>ClubDetails!M142</f>
        <v/>
      </c>
      <c r="M13" s="8">
        <f>ClubDetails!J142</f>
        <v/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12">
        <f>IF(SUM(O13:P13)&gt;=5,"Yes","No")</f>
        <v/>
      </c>
      <c r="AA13" s="8">
        <f>IF(SUM(O13:P13)&gt;=5,0,5-SUM(O13:P13))</f>
        <v/>
      </c>
      <c r="AB13" s="12">
        <f>IF(SUM(U13:V13)&gt;=5,"Yes","No")</f>
        <v/>
      </c>
      <c r="AC13" s="8">
        <f>IF(SUM(U13:V13)&gt;=5,0,5-SUM(U13:V13))</f>
        <v/>
      </c>
      <c r="AD13" s="12">
        <f>IF(SUM(X13:Y13)&gt;=5,"Yes","No")</f>
        <v/>
      </c>
      <c r="AE13" s="8">
        <f>IF(SUM(X13:Y13)&gt;=5,0,5-SUM(X13:Y13))</f>
        <v/>
      </c>
    </row>
    <row r="14">
      <c r="A14" s="12" t="n">
        <v>7762021</v>
      </c>
      <c r="B14" s="12" t="inlineStr">
        <is>
          <t>03</t>
        </is>
      </c>
      <c r="C14" s="27" t="inlineStr">
        <is>
          <t>Christ Toastmasters Club</t>
        </is>
      </c>
      <c r="D14" s="8">
        <f>ClubDetails!G143</f>
        <v/>
      </c>
      <c r="E14" s="8">
        <f>ClubDetails!H143</f>
        <v/>
      </c>
      <c r="F14" s="8">
        <f>ClubDetails!I143</f>
        <v/>
      </c>
      <c r="G14" s="12">
        <f>IF(F14&lt;5,"-",IF(E14&gt;19,"Yes",IF(E14&gt;D14+2,"Yes","-")))</f>
        <v/>
      </c>
      <c r="H14" s="8">
        <f>ClubDetails!K143</f>
        <v/>
      </c>
      <c r="I14" s="28">
        <f>IF(D14=0,0,H14/D14)</f>
        <v/>
      </c>
      <c r="J14" s="8">
        <f>ClubDetails!L143</f>
        <v/>
      </c>
      <c r="K14" s="28">
        <f>IF(D14=0,0,J14/D14)</f>
        <v/>
      </c>
      <c r="L14" s="8">
        <f>ClubDetails!M143</f>
        <v/>
      </c>
      <c r="M14" s="8">
        <f>ClubDetails!J143</f>
        <v/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12">
        <f>IF(SUM(O14:P14)&gt;=5,"Yes","No")</f>
        <v/>
      </c>
      <c r="AA14" s="8">
        <f>IF(SUM(O14:P14)&gt;=5,0,5-SUM(O14:P14))</f>
        <v/>
      </c>
      <c r="AB14" s="12">
        <f>IF(SUM(U14:V14)&gt;=5,"Yes","No")</f>
        <v/>
      </c>
      <c r="AC14" s="8">
        <f>IF(SUM(U14:V14)&gt;=5,0,5-SUM(U14:V14))</f>
        <v/>
      </c>
      <c r="AD14" s="12">
        <f>IF(SUM(X14:Y14)&gt;=5,"Yes","No")</f>
        <v/>
      </c>
      <c r="AE14" s="8">
        <f>IF(SUM(X14:Y14)&gt;=5,0,5-SUM(X14:Y14))</f>
        <v/>
      </c>
    </row>
    <row r="15">
      <c r="A15" s="12" t="n">
        <v>28676701</v>
      </c>
      <c r="B15" s="12" t="inlineStr">
        <is>
          <t>03</t>
        </is>
      </c>
      <c r="C15" s="27" t="inlineStr">
        <is>
          <t>Evolve Toastmasters</t>
        </is>
      </c>
      <c r="D15" s="8">
        <f>ClubDetails!G144</f>
        <v/>
      </c>
      <c r="E15" s="8">
        <f>ClubDetails!H144</f>
        <v/>
      </c>
      <c r="F15" s="8">
        <f>ClubDetails!I144</f>
        <v/>
      </c>
      <c r="G15" s="12">
        <f>IF(F15&lt;5,"-",IF(E15&gt;19,"Yes",IF(E15&gt;D15+2,"Yes","-")))</f>
        <v/>
      </c>
      <c r="H15" s="8">
        <f>ClubDetails!K144</f>
        <v/>
      </c>
      <c r="I15" s="28">
        <f>IF(D15=0,0,H15/D15)</f>
        <v/>
      </c>
      <c r="J15" s="8">
        <f>ClubDetails!L144</f>
        <v/>
      </c>
      <c r="K15" s="28">
        <f>IF(D15=0,0,J15/D15)</f>
        <v/>
      </c>
      <c r="L15" s="8">
        <f>ClubDetails!M144</f>
        <v/>
      </c>
      <c r="M15" s="8">
        <f>ClubDetails!J144</f>
        <v/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12">
        <f>IF(SUM(O15:P15)&gt;=5,"Yes","No")</f>
        <v/>
      </c>
      <c r="AA15" s="8">
        <f>IF(SUM(O15:P15)&gt;=5,0,5-SUM(O15:P15))</f>
        <v/>
      </c>
      <c r="AB15" s="12">
        <f>IF(SUM(U15:V15)&gt;=5,"Yes","No")</f>
        <v/>
      </c>
      <c r="AC15" s="8">
        <f>IF(SUM(U15:V15)&gt;=5,0,5-SUM(U15:V15))</f>
        <v/>
      </c>
      <c r="AD15" s="12">
        <f>IF(SUM(X15:Y15)&gt;=5,"Yes","No")</f>
        <v/>
      </c>
      <c r="AE15" s="8">
        <f>IF(SUM(X15:Y15)&gt;=5,0,5-SUM(X15:Y15))</f>
        <v/>
      </c>
    </row>
    <row r="16">
      <c r="A16" s="12" t="n">
        <v>28678938</v>
      </c>
      <c r="B16" s="12" t="inlineStr">
        <is>
          <t>03</t>
        </is>
      </c>
      <c r="C16" s="27" t="inlineStr">
        <is>
          <t>DSBA Toastmaster Club</t>
        </is>
      </c>
      <c r="D16" s="8">
        <f>ClubDetails!G145</f>
        <v/>
      </c>
      <c r="E16" s="8">
        <f>ClubDetails!H145</f>
        <v/>
      </c>
      <c r="F16" s="8">
        <f>ClubDetails!I145</f>
        <v/>
      </c>
      <c r="G16" s="12">
        <f>IF(F16&lt;5,"-",IF(E16&gt;19,"Yes",IF(E16&gt;D16+2,"Yes","-")))</f>
        <v/>
      </c>
      <c r="H16" s="8">
        <f>ClubDetails!K145</f>
        <v/>
      </c>
      <c r="I16" s="28">
        <f>IF(D16=0,0,H16/D16)</f>
        <v/>
      </c>
      <c r="J16" s="8">
        <f>ClubDetails!L145</f>
        <v/>
      </c>
      <c r="K16" s="28">
        <f>IF(D16=0,0,J16/D16)</f>
        <v/>
      </c>
      <c r="L16" s="8">
        <f>ClubDetails!M145</f>
        <v/>
      </c>
      <c r="M16" s="8">
        <f>ClubDetails!J145</f>
        <v/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12">
        <f>IF(SUM(O16:P16)&gt;=5,"Yes","No")</f>
        <v/>
      </c>
      <c r="AA16" s="8">
        <f>IF(SUM(O16:P16)&gt;=5,0,5-SUM(O16:P16))</f>
        <v/>
      </c>
      <c r="AB16" s="12">
        <f>IF(SUM(U16:V16)&gt;=5,"Yes","No")</f>
        <v/>
      </c>
      <c r="AC16" s="8">
        <f>IF(SUM(U16:V16)&gt;=5,0,5-SUM(U16:V16))</f>
        <v/>
      </c>
      <c r="AD16" s="12">
        <f>IF(SUM(X16:Y16)&gt;=5,"Yes","No")</f>
        <v/>
      </c>
      <c r="AE16" s="8">
        <f>IF(SUM(X16:Y16)&gt;=5,0,5-SUM(X16:Y16))</f>
        <v/>
      </c>
    </row>
    <row r="17">
      <c r="A17" s="12" t="n">
        <v>28679826</v>
      </c>
      <c r="B17" s="12" t="inlineStr">
        <is>
          <t>03</t>
        </is>
      </c>
      <c r="C17" s="27" t="inlineStr">
        <is>
          <t>DSBA Toastmasters Legacy Club</t>
        </is>
      </c>
      <c r="D17" s="8">
        <f>ClubDetails!G146</f>
        <v/>
      </c>
      <c r="E17" s="8">
        <f>ClubDetails!H146</f>
        <v/>
      </c>
      <c r="F17" s="8">
        <f>ClubDetails!I146</f>
        <v/>
      </c>
      <c r="G17" s="12">
        <f>IF(F17&lt;5,"-",IF(E17&gt;19,"Yes",IF(E17&gt;D17+2,"Yes","-")))</f>
        <v/>
      </c>
      <c r="H17" s="8">
        <f>ClubDetails!K146</f>
        <v/>
      </c>
      <c r="I17" s="28">
        <f>IF(D17=0,0,H17/D17)</f>
        <v/>
      </c>
      <c r="J17" s="8">
        <f>ClubDetails!L146</f>
        <v/>
      </c>
      <c r="K17" s="28">
        <f>IF(D17=0,0,J17/D17)</f>
        <v/>
      </c>
      <c r="L17" s="8">
        <f>ClubDetails!M146</f>
        <v/>
      </c>
      <c r="M17" s="8">
        <f>ClubDetails!J146</f>
        <v/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12">
        <f>IF(SUM(O17:P17)&gt;=5,"Yes","No")</f>
        <v/>
      </c>
      <c r="AA17" s="8">
        <f>IF(SUM(O17:P17)&gt;=5,0,5-SUM(O17:P17))</f>
        <v/>
      </c>
      <c r="AB17" s="12">
        <f>IF(SUM(U17:V17)&gt;=5,"Yes","No")</f>
        <v/>
      </c>
      <c r="AC17" s="8">
        <f>IF(SUM(U17:V17)&gt;=5,0,5-SUM(U17:V17))</f>
        <v/>
      </c>
      <c r="AD17" s="12">
        <f>IF(SUM(X17:Y17)&gt;=5,"Yes","No")</f>
        <v/>
      </c>
      <c r="AE17" s="8">
        <f>IF(SUM(X17:Y17)&gt;=5,0,5-SUM(X17:Y17))</f>
        <v/>
      </c>
    </row>
    <row r="18">
      <c r="A18" s="12" t="n">
        <v>5953659</v>
      </c>
      <c r="B18" s="12" t="inlineStr">
        <is>
          <t>04</t>
        </is>
      </c>
      <c r="C18" s="27" t="inlineStr">
        <is>
          <t>Ritoras</t>
        </is>
      </c>
      <c r="D18" s="8">
        <f>ClubDetails!G147</f>
        <v/>
      </c>
      <c r="E18" s="8">
        <f>ClubDetails!H147</f>
        <v/>
      </c>
      <c r="F18" s="8">
        <f>ClubDetails!I147</f>
        <v/>
      </c>
      <c r="G18" s="12">
        <f>IF(F18&lt;5,"-",IF(E18&gt;19,"Yes",IF(E18&gt;D18+2,"Yes","-")))</f>
        <v/>
      </c>
      <c r="H18" s="8">
        <f>ClubDetails!K147</f>
        <v/>
      </c>
      <c r="I18" s="28">
        <f>IF(D18=0,0,H18/D18)</f>
        <v/>
      </c>
      <c r="J18" s="8">
        <f>ClubDetails!L147</f>
        <v/>
      </c>
      <c r="K18" s="28">
        <f>IF(D18=0,0,J18/D18)</f>
        <v/>
      </c>
      <c r="L18" s="8">
        <f>ClubDetails!M147</f>
        <v/>
      </c>
      <c r="M18" s="8">
        <f>ClubDetails!J147</f>
        <v/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12">
        <f>IF(SUM(O18:P18)&gt;=5,"Yes","No")</f>
        <v/>
      </c>
      <c r="AA18" s="8">
        <f>IF(SUM(O18:P18)&gt;=5,0,5-SUM(O18:P18))</f>
        <v/>
      </c>
      <c r="AB18" s="12">
        <f>IF(SUM(U18:V18)&gt;=5,"Yes","No")</f>
        <v/>
      </c>
      <c r="AC18" s="8">
        <f>IF(SUM(U18:V18)&gt;=5,0,5-SUM(U18:V18))</f>
        <v/>
      </c>
      <c r="AD18" s="12">
        <f>IF(SUM(X18:Y18)&gt;=5,"Yes","No")</f>
        <v/>
      </c>
      <c r="AE18" s="8">
        <f>IF(SUM(X18:Y18)&gt;=5,0,5-SUM(X18:Y18))</f>
        <v/>
      </c>
    </row>
    <row r="19">
      <c r="A19" s="12" t="n">
        <v>7934414</v>
      </c>
      <c r="B19" s="12" t="inlineStr">
        <is>
          <t>04</t>
        </is>
      </c>
      <c r="C19" s="27" t="inlineStr">
        <is>
          <t>V R Advanced Toastmasters</t>
        </is>
      </c>
      <c r="D19" s="8">
        <f>ClubDetails!G148</f>
        <v/>
      </c>
      <c r="E19" s="8">
        <f>ClubDetails!H148</f>
        <v/>
      </c>
      <c r="F19" s="8">
        <f>ClubDetails!I148</f>
        <v/>
      </c>
      <c r="G19" s="12">
        <f>IF(F19&lt;5,"-",IF(E19&gt;19,"Yes",IF(E19&gt;D19+2,"Yes","-")))</f>
        <v/>
      </c>
      <c r="H19" s="8">
        <f>ClubDetails!K148</f>
        <v/>
      </c>
      <c r="I19" s="28">
        <f>IF(D19=0,0,H19/D19)</f>
        <v/>
      </c>
      <c r="J19" s="8">
        <f>ClubDetails!L148</f>
        <v/>
      </c>
      <c r="K19" s="28">
        <f>IF(D19=0,0,J19/D19)</f>
        <v/>
      </c>
      <c r="L19" s="8">
        <f>ClubDetails!M148</f>
        <v/>
      </c>
      <c r="M19" s="8">
        <f>ClubDetails!J148</f>
        <v/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12">
        <f>IF(SUM(O19:P19)&gt;=5,"Yes","No")</f>
        <v/>
      </c>
      <c r="AA19" s="8">
        <f>IF(SUM(O19:P19)&gt;=5,0,5-SUM(O19:P19))</f>
        <v/>
      </c>
      <c r="AB19" s="12">
        <f>IF(SUM(U19:V19)&gt;=5,"Yes","No")</f>
        <v/>
      </c>
      <c r="AC19" s="8">
        <f>IF(SUM(U19:V19)&gt;=5,0,5-SUM(U19:V19))</f>
        <v/>
      </c>
      <c r="AD19" s="12">
        <f>IF(SUM(X19:Y19)&gt;=5,"Yes","No")</f>
        <v/>
      </c>
      <c r="AE19" s="8">
        <f>IF(SUM(X19:Y19)&gt;=5,0,5-SUM(X19:Y19))</f>
        <v/>
      </c>
    </row>
    <row r="20">
      <c r="A20" s="12" t="n">
        <v>7992645</v>
      </c>
      <c r="B20" s="12" t="inlineStr">
        <is>
          <t>04</t>
        </is>
      </c>
      <c r="C20" s="27" t="inlineStr">
        <is>
          <t>All Women and Entrepreneurs Toastmasters Club</t>
        </is>
      </c>
      <c r="D20" s="8">
        <f>ClubDetails!G149</f>
        <v/>
      </c>
      <c r="E20" s="8">
        <f>ClubDetails!H149</f>
        <v/>
      </c>
      <c r="F20" s="8">
        <f>ClubDetails!I149</f>
        <v/>
      </c>
      <c r="G20" s="12">
        <f>IF(F20&lt;5,"-",IF(E20&gt;19,"Yes",IF(E20&gt;D20+2,"Yes","-")))</f>
        <v/>
      </c>
      <c r="H20" s="8">
        <f>ClubDetails!K149</f>
        <v/>
      </c>
      <c r="I20" s="28">
        <f>IF(D20=0,0,H20/D20)</f>
        <v/>
      </c>
      <c r="J20" s="8">
        <f>ClubDetails!L149</f>
        <v/>
      </c>
      <c r="K20" s="28">
        <f>IF(D20=0,0,J20/D20)</f>
        <v/>
      </c>
      <c r="L20" s="8">
        <f>ClubDetails!M149</f>
        <v/>
      </c>
      <c r="M20" s="8">
        <f>ClubDetails!J149</f>
        <v/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12">
        <f>IF(SUM(O20:P20)&gt;=5,"Yes","No")</f>
        <v/>
      </c>
      <c r="AA20" s="8">
        <f>IF(SUM(O20:P20)&gt;=5,0,5-SUM(O20:P20))</f>
        <v/>
      </c>
      <c r="AB20" s="12">
        <f>IF(SUM(U20:V20)&gt;=5,"Yes","No")</f>
        <v/>
      </c>
      <c r="AC20" s="8">
        <f>IF(SUM(U20:V20)&gt;=5,0,5-SUM(U20:V20))</f>
        <v/>
      </c>
      <c r="AD20" s="12">
        <f>IF(SUM(X20:Y20)&gt;=5,"Yes","No")</f>
        <v/>
      </c>
      <c r="AE20" s="8">
        <f>IF(SUM(X20:Y20)&gt;=5,0,5-SUM(X20:Y20))</f>
        <v/>
      </c>
    </row>
    <row r="21">
      <c r="A21" s="12" t="n">
        <v>28675687</v>
      </c>
      <c r="B21" s="12" t="inlineStr">
        <is>
          <t>04</t>
        </is>
      </c>
      <c r="C21" s="27" t="inlineStr">
        <is>
          <t>School of Commerce, Jain University Toastmasters</t>
        </is>
      </c>
      <c r="D21" s="8">
        <f>ClubDetails!G150</f>
        <v/>
      </c>
      <c r="E21" s="8">
        <f>ClubDetails!H150</f>
        <v/>
      </c>
      <c r="F21" s="8">
        <f>ClubDetails!I150</f>
        <v/>
      </c>
      <c r="G21" s="12">
        <f>IF(F21&lt;5,"-",IF(E21&gt;19,"Yes",IF(E21&gt;D21+2,"Yes","-")))</f>
        <v/>
      </c>
      <c r="H21" s="8">
        <f>ClubDetails!K150</f>
        <v/>
      </c>
      <c r="I21" s="28">
        <f>IF(D21=0,0,H21/D21)</f>
        <v/>
      </c>
      <c r="J21" s="8">
        <f>ClubDetails!L150</f>
        <v/>
      </c>
      <c r="K21" s="28">
        <f>IF(D21=0,0,J21/D21)</f>
        <v/>
      </c>
      <c r="L21" s="8">
        <f>ClubDetails!M150</f>
        <v/>
      </c>
      <c r="M21" s="8">
        <f>ClubDetails!J150</f>
        <v/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12">
        <f>IF(SUM(O21:P21)&gt;=5,"Yes","No")</f>
        <v/>
      </c>
      <c r="AA21" s="8">
        <f>IF(SUM(O21:P21)&gt;=5,0,5-SUM(O21:P21))</f>
        <v/>
      </c>
      <c r="AB21" s="12">
        <f>IF(SUM(U21:V21)&gt;=5,"Yes","No")</f>
        <v/>
      </c>
      <c r="AC21" s="8">
        <f>IF(SUM(U21:V21)&gt;=5,0,5-SUM(U21:V21))</f>
        <v/>
      </c>
      <c r="AD21" s="12">
        <f>IF(SUM(X21:Y21)&gt;=5,"Yes","No")</f>
        <v/>
      </c>
      <c r="AE21" s="8">
        <f>IF(SUM(X21:Y21)&gt;=5,0,5-SUM(X21:Y21))</f>
        <v/>
      </c>
    </row>
    <row r="22">
      <c r="A22" s="12" t="n">
        <v>28677183</v>
      </c>
      <c r="B22" s="12" t="inlineStr">
        <is>
          <t>04</t>
        </is>
      </c>
      <c r="C22" s="27" t="inlineStr">
        <is>
          <t>Titans Toastmasters Club</t>
        </is>
      </c>
      <c r="D22" s="8">
        <f>ClubDetails!G151</f>
        <v/>
      </c>
      <c r="E22" s="8">
        <f>ClubDetails!H151</f>
        <v/>
      </c>
      <c r="F22" s="8">
        <f>ClubDetails!I151</f>
        <v/>
      </c>
      <c r="G22" s="12">
        <f>IF(F22&lt;5,"-",IF(E22&gt;19,"Yes",IF(E22&gt;D22+2,"Yes","-")))</f>
        <v/>
      </c>
      <c r="H22" s="8">
        <f>ClubDetails!K151</f>
        <v/>
      </c>
      <c r="I22" s="28">
        <f>IF(D22=0,0,H22/D22)</f>
        <v/>
      </c>
      <c r="J22" s="8">
        <f>ClubDetails!L151</f>
        <v/>
      </c>
      <c r="K22" s="28">
        <f>IF(D22=0,0,J22/D22)</f>
        <v/>
      </c>
      <c r="L22" s="8">
        <f>ClubDetails!M151</f>
        <v/>
      </c>
      <c r="M22" s="8">
        <f>ClubDetails!J151</f>
        <v/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12">
        <f>IF(SUM(O22:P22)&gt;=5,"Yes","No")</f>
        <v/>
      </c>
      <c r="AA22" s="8">
        <f>IF(SUM(O22:P22)&gt;=5,0,5-SUM(O22:P22))</f>
        <v/>
      </c>
      <c r="AB22" s="12">
        <f>IF(SUM(U22:V22)&gt;=5,"Yes","No")</f>
        <v/>
      </c>
      <c r="AC22" s="8">
        <f>IF(SUM(U22:V22)&gt;=5,0,5-SUM(U22:V22))</f>
        <v/>
      </c>
      <c r="AD22" s="12">
        <f>IF(SUM(X22:Y22)&gt;=5,"Yes","No")</f>
        <v/>
      </c>
      <c r="AE22" s="8">
        <f>IF(SUM(X22:Y22)&gt;=5,0,5-SUM(X22:Y22))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7">
        <f>SUM(J4:J22)</f>
        <v/>
      </c>
      <c r="K23" s="25">
        <f>IF(D23=0,0,J23/D23)</f>
        <v/>
      </c>
      <c r="L23" s="7">
        <f>SUM(L4:L22)</f>
        <v/>
      </c>
      <c r="M23" s="7">
        <f>SUM(M4:M22)</f>
        <v/>
      </c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30">
        <f>COUNTIF(Z4:Z22,"Yes")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2026-08-01T12:34:49Z</dcterms:created>
  <dcterms:modified xsi:type="dcterms:W3CDTF">2026-08-01T12:34:49Z</dcterms:modified>
</cp:coreProperties>
</file>